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SKUs" sheetId="2" state="visible" r:id="rId4"/>
    <sheet name="Matriz Picolé" sheetId="3" state="visible" r:id="rId5"/>
    <sheet name="Dicionário de códigos" sheetId="4" state="visible" r:id="rId6"/>
    <sheet name="Pendências para a Técnica" sheetId="5" state="visible" r:id="rId7"/>
    <sheet name="Alertas de cadastro" sheetId="6" state="visible" r:id="rId8"/>
  </sheets>
  <definedNames>
    <definedName function="false" hidden="true" localSheetId="3" name="_xlnm._FilterDatabase" vbProcedure="false">'Dicionário de códigos'!$A$4:$G$317</definedName>
    <definedName function="false" hidden="true" localSheetId="4" name="_xlnm._FilterDatabase" vbProcedure="false">'Pendências para a Técnica'!$A$4:$F$36</definedName>
    <definedName function="false" hidden="true" localSheetId="1" name="_xlnm._FilterDatabase" vbProcedure="false">SKUs!$A$4:$R$327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<sst xmlns="http://schemas.openxmlformats.org/spreadsheetml/2006/main" count="6125" uniqueCount="1895">
  <si>
    <t xml:space="preserve">Relatório de SKUs – nova codificação de produtos</t>
  </si>
  <si>
    <t xml:space="preserve">Para revisão da área técnica · base: cadastro do sistema em 14/10/2026 · nenhuma alteração foi feita no sistema</t>
  </si>
  <si>
    <t xml:space="preserve">Resumo por família e status</t>
  </si>
  <si>
    <t xml:space="preserve">Família</t>
  </si>
  <si>
    <t xml:space="preserve">Total</t>
  </si>
  <si>
    <t xml:space="preserve">Conforme</t>
  </si>
  <si>
    <t xml:space="preserve">Proposto</t>
  </si>
  <si>
    <t xml:space="preserve">Pendente</t>
  </si>
  <si>
    <t xml:space="preserve">PF – Produto final (gelato/picolé)</t>
  </si>
  <si>
    <t xml:space="preserve">MP – Matéria-prima</t>
  </si>
  <si>
    <t xml:space="preserve">EM – Embalagem</t>
  </si>
  <si>
    <t xml:space="preserve">Sem família no modelo</t>
  </si>
  <si>
    <t xml:space="preserve">SKUs duplicados (devem ser resolvidos)</t>
  </si>
  <si>
    <t xml:space="preserve">Formato do SKU</t>
  </si>
  <si>
    <t xml:space="preserve">PF (gelato/picolé):  Tipo(2) + Sabor(3) + Tamanho(2) + Linha(2)   ex.: GL10136TR = Gelato · 101 Chocolate Belga · Pote 360 g · Tradicional</t>
  </si>
  <si>
    <t xml:space="preserve">MP (matéria-prima):  Tipo(2) + Categoria(2) + Descrição(3) + Armazenamento(2)   ex.: MPLT100RF = Leite integral refrigerado</t>
  </si>
  <si>
    <t xml:space="preserve">EM (embalagem):  Tipo(2) + Categoria(2) + Descrição(3) + Complemento(2, opcional)   ex.: EMPR400 = Palito</t>
  </si>
  <si>
    <t xml:space="preserve">Como ler o Status</t>
  </si>
  <si>
    <t xml:space="preserve">Conforme: todos os blocos vêm das tabelas do modelo, da lista de frutas ou de exemplo explícito do modelo.</t>
  </si>
  <si>
    <t xml:space="preserve">Proposto: algum código foi criado ou assumido nesta análise (sabor novo, categoria nova, tamanho novo, embalagem assumida). Ver coluna "Blocos propostos / assumidos".</t>
  </si>
  <si>
    <t xml:space="preserve">Pendente: faltam informações para definir o SKU (ex.: gramatura do picolé) ou não há regra no modelo (ex.: itens de limpeza e escritório).</t>
  </si>
  <si>
    <t xml:space="preserve">Premissas gerais</t>
  </si>
  <si>
    <t xml:space="preserve">1. O armazenamento (SC/RF/CG/AC) de todas as matérias-primas foi inferido pelo tipo de produto, porque o sistema não registra essa informação; mesmo os MPs "Conforme" precisam dessa validação.</t>
  </si>
  <si>
    <t xml:space="preserve">2. Códigos novos seguem a sequência da faixa de cada categoria/classe, em ordem alfabética (ou na ordem do cadastro atual para MP), preservando os exemplos fixados pelos modelos.</t>
  </si>
  <si>
    <t xml:space="preserve">3. Gelatos cadastrados a granel foram assumidos como caixa de 6 kg (C1).</t>
  </si>
  <si>
    <t xml:space="preserve">4. Os itens de Embalagem do cadastro de MP e de Insumos foram agrupados na família EM; os demais itens de Insumos ficaram sem SKU.</t>
  </si>
  <si>
    <t xml:space="preserve">Abas</t>
  </si>
  <si>
    <t xml:space="preserve">SKUs – todos os produtos, com blocos, SKU (fórmula), status e espaço para a decisão da Técnica.</t>
  </si>
  <si>
    <t xml:space="preserve">Matriz Picolé – sabores × embalagens do modelo, para escolher as combinações realmente vendidas.</t>
  </si>
  <si>
    <t xml:space="preserve">Dicionário de códigos – significado e origem de cada código, com contagem de uso.</t>
  </si>
  <si>
    <t xml:space="preserve">Pendências para a Técnica – inconsistências nos modelos e decisões necessárias.</t>
  </si>
  <si>
    <t xml:space="preserve">Alertas de cadastro – duplicidades e problemas no cadastro atual.</t>
  </si>
  <si>
    <t xml:space="preserve">SKUs propostos para todos os produtos cadastrados no sistema</t>
  </si>
  <si>
    <t xml:space="preserve">Posição do cadastro em 14/10/2026 (somente leitura; nenhuma alteração feita no sistema). SKU = Bloco 1 &amp; Bloco 2 &amp; Bloco 3 &amp; Bloco 4, conforme modelos de 23/09/2026. Status: Conforme = só códigos do modelo/lista de frutas · Proposto = ao menos um código criado/assumido nesta análise · Pendente = sem SKU definitivo.</t>
  </si>
  <si>
    <t xml:space="preserve">Cadastro de origem</t>
  </si>
  <si>
    <t xml:space="preserve">Código atual</t>
  </si>
  <si>
    <t xml:space="preserve">Produto atual</t>
  </si>
  <si>
    <t xml:space="preserve">Un. atual</t>
  </si>
  <si>
    <t xml:space="preserve">Estoque atual</t>
  </si>
  <si>
    <t xml:space="preserve">Bloco 1
(Tipo)</t>
  </si>
  <si>
    <t xml:space="preserve">Bloco 2
(PF: Sabor · MP/EM: Categoria)</t>
  </si>
  <si>
    <t xml:space="preserve">Bloco 3
(PF: Tamanho · MP/EM: Descrição)</t>
  </si>
  <si>
    <t xml:space="preserve">Bloco 4
(PF: Linha · MP: Armazen. · EM: Compl.)</t>
  </si>
  <si>
    <t xml:space="preserve">SKU NOVO</t>
  </si>
  <si>
    <t xml:space="preserve">Nome padronizado</t>
  </si>
  <si>
    <t xml:space="preserve">Leitura dos blocos</t>
  </si>
  <si>
    <t xml:space="preserve">Status</t>
  </si>
  <si>
    <t xml:space="preserve">Unicidade</t>
  </si>
  <si>
    <t xml:space="preserve">Blocos propostos / assumidos</t>
  </si>
  <si>
    <t xml:space="preserve">Observações para revisão</t>
  </si>
  <si>
    <t xml:space="preserve">Decisão da área técnica</t>
  </si>
  <si>
    <t xml:space="preserve">PF</t>
  </si>
  <si>
    <t xml:space="preserve">Produto Acabado</t>
  </si>
  <si>
    <t xml:space="preserve">PF-00010</t>
  </si>
  <si>
    <t xml:space="preserve">Banoffee</t>
  </si>
  <si>
    <t xml:space="preserve">GL</t>
  </si>
  <si>
    <t xml:space="preserve">102</t>
  </si>
  <si>
    <t xml:space="preserve">C1</t>
  </si>
  <si>
    <t xml:space="preserve">TR</t>
  </si>
  <si>
    <t xml:space="preserve">Gelato Banoffee - Caixa 6 kg - Tradicional</t>
  </si>
  <si>
    <t xml:space="preserve">GL = Gelato | 102 = Ao Leite – Banoffee | C1 = Caixa 6 kg | TR = Tradicional</t>
  </si>
  <si>
    <t xml:space="preserve">B2 (código de sabor novo); B3 (embalagem C1 assumida – item cadastrado a granel)</t>
  </si>
  <si>
    <t xml:space="preserve">Unidade cadastrada "vazia" diverge do padrão Kg dos demais gelatos.</t>
  </si>
  <si>
    <t xml:space="preserve">PF-00011</t>
  </si>
  <si>
    <t xml:space="preserve">Chocolate Intenso</t>
  </si>
  <si>
    <t xml:space="preserve">Kg</t>
  </si>
  <si>
    <t xml:space="preserve">106</t>
  </si>
  <si>
    <t xml:space="preserve">Gelato Chocolate Intenso - Caixa 6 kg - Tradicional</t>
  </si>
  <si>
    <t xml:space="preserve">GL = Gelato | 106 = Ao Leite – Chocolate Intenso | C1 = Caixa 6 kg | TR = Tradicional</t>
  </si>
  <si>
    <t xml:space="preserve">PF-00012</t>
  </si>
  <si>
    <t xml:space="preserve">Chocolate Branco</t>
  </si>
  <si>
    <t xml:space="preserve">103</t>
  </si>
  <si>
    <t xml:space="preserve">Gelato Chocolate Branco - Caixa 6 kg - Tradicional</t>
  </si>
  <si>
    <t xml:space="preserve">GL = Gelato | 103 = Ao Leite – Chocolate Branco | C1 = Caixa 6 kg | TR = Tradicional</t>
  </si>
  <si>
    <t xml:space="preserve">PF-00013</t>
  </si>
  <si>
    <t xml:space="preserve">Chocolate Dubai</t>
  </si>
  <si>
    <t xml:space="preserve">105</t>
  </si>
  <si>
    <t xml:space="preserve">Gelato Chocolate Dubai - Caixa 6 kg - Tradicional</t>
  </si>
  <si>
    <t xml:space="preserve">GL = Gelato | 105 = Ao Leite – Chocolate Dubai | C1 = Caixa 6 kg | TR = Tradicional</t>
  </si>
  <si>
    <t xml:space="preserve">PF-00014</t>
  </si>
  <si>
    <t xml:space="preserve">Coco Branco</t>
  </si>
  <si>
    <t xml:space="preserve">107</t>
  </si>
  <si>
    <t xml:space="preserve">Gelato Coco Branco - Caixa 6 kg - Tradicional</t>
  </si>
  <si>
    <t xml:space="preserve">GL = Gelato | 107 = Ao Leite – Coco Branco | C1 = Caixa 6 kg | TR = Tradicional</t>
  </si>
  <si>
    <t xml:space="preserve">PF-00015</t>
  </si>
  <si>
    <t xml:space="preserve">Doce de leite</t>
  </si>
  <si>
    <t xml:space="preserve">110</t>
  </si>
  <si>
    <t xml:space="preserve">Gelato Doce de Leite - Caixa 6 kg - Tradicional</t>
  </si>
  <si>
    <t xml:space="preserve">GL = Gelato | 110 = Ao Leite – Doce de Leite | C1 = Caixa 6 kg | TR = Tradicional</t>
  </si>
  <si>
    <t xml:space="preserve">PF-00016</t>
  </si>
  <si>
    <t xml:space="preserve">Floresta Negra</t>
  </si>
  <si>
    <t xml:space="preserve">111</t>
  </si>
  <si>
    <t xml:space="preserve">Gelato Floresta Negra - Caixa 6 kg - Tradicional</t>
  </si>
  <si>
    <t xml:space="preserve">GL = Gelato | 111 = Ao Leite – Floresta Negra | C1 = Caixa 6 kg | TR = Tradicional</t>
  </si>
  <si>
    <t xml:space="preserve">PF-00017</t>
  </si>
  <si>
    <t xml:space="preserve">Sorbet Frutas Vermelhas</t>
  </si>
  <si>
    <t xml:space="preserve">201</t>
  </si>
  <si>
    <t xml:space="preserve">Gelato Sorbet Frutas Vermelhas - Caixa 6 kg - Tradicional</t>
  </si>
  <si>
    <t xml:space="preserve">GL = Gelato | 201 = Sorbet – Frutas Vermelhas | C1 = Caixa 6 kg | TR = Tradicional</t>
  </si>
  <si>
    <t xml:space="preserve">Possível duplicidade com PF-00082 (mesmo sabor/embalagem → mesmo SKU).</t>
  </si>
  <si>
    <t xml:space="preserve">PF-00018</t>
  </si>
  <si>
    <t xml:space="preserve">Limão</t>
  </si>
  <si>
    <t xml:space="preserve">203</t>
  </si>
  <si>
    <t xml:space="preserve">Gelato Sorbet Limão - Caixa 6 kg - Tradicional</t>
  </si>
  <si>
    <t xml:space="preserve">GL = Gelato | 203 = Sorbet – Limão | C1 = Caixa 6 kg | TR = Tradicional</t>
  </si>
  <si>
    <t xml:space="preserve">Unidade cadastrada "vazia" diverge do padrão Kg dos demais gelatos. Classificado como sorbet pela OP "Sorbet Limão".</t>
  </si>
  <si>
    <t xml:space="preserve">PF-00019</t>
  </si>
  <si>
    <t xml:space="preserve">Sorbet Manga</t>
  </si>
  <si>
    <t xml:space="preserve">200</t>
  </si>
  <si>
    <t xml:space="preserve">Gelato Sorbet Manga - Caixa 6 kg - Tradicional</t>
  </si>
  <si>
    <t xml:space="preserve">GL = Gelato | 200 = Sorbet – Manga | C1 = Caixa 6 kg | TR = Tradicional</t>
  </si>
  <si>
    <t xml:space="preserve">B3 (embalagem C1 assumida – item cadastrado a granel)</t>
  </si>
  <si>
    <t xml:space="preserve">Possível duplicidade com PF-00081 (mesmo sabor/embalagem → mesmo SKU). Sabor 200 é exemplo "a confirmar" no modelo.</t>
  </si>
  <si>
    <t xml:space="preserve">PF-00020</t>
  </si>
  <si>
    <t xml:space="preserve">Sorbet Morango</t>
  </si>
  <si>
    <t xml:space="preserve">206</t>
  </si>
  <si>
    <t xml:space="preserve">Gelato Sorbet Morango - Caixa 6 kg - Tradicional</t>
  </si>
  <si>
    <t xml:space="preserve">GL = Gelato | 206 = Sorbet – Morango | C1 = Caixa 6 kg | TR = Tradicional</t>
  </si>
  <si>
    <t xml:space="preserve">PF-00021</t>
  </si>
  <si>
    <t xml:space="preserve">Nocciola Crocante</t>
  </si>
  <si>
    <t xml:space="preserve">118</t>
  </si>
  <si>
    <t xml:space="preserve">Gelato Nocciola Crocante - Caixa 6 kg - Tradicional</t>
  </si>
  <si>
    <t xml:space="preserve">GL = Gelato | 118 = Ao Leite – Nocciola Crocante | C1 = Caixa 6 kg | TR = Tradicional</t>
  </si>
  <si>
    <t xml:space="preserve">PF-00022</t>
  </si>
  <si>
    <t xml:space="preserve">Pavlova</t>
  </si>
  <si>
    <t xml:space="preserve">120</t>
  </si>
  <si>
    <t xml:space="preserve">Gelato Pavlova - Caixa 6 kg - Tradicional</t>
  </si>
  <si>
    <t xml:space="preserve">GL = Gelato | 120 = Ao Leite – Pavlova | C1 = Caixa 6 kg | TR = Tradicional</t>
  </si>
  <si>
    <t xml:space="preserve">PF-00023</t>
  </si>
  <si>
    <t xml:space="preserve">Pistache</t>
  </si>
  <si>
    <t xml:space="preserve">121</t>
  </si>
  <si>
    <t xml:space="preserve">Gelato Pistache - Caixa 6 kg - Tradicional</t>
  </si>
  <si>
    <t xml:space="preserve">GL = Gelato | 121 = Ao Leite – Pistache | C1 = Caixa 6 kg | TR = Tradicional</t>
  </si>
  <si>
    <t xml:space="preserve">PF-00024</t>
  </si>
  <si>
    <t xml:space="preserve">Rosso Nero</t>
  </si>
  <si>
    <t xml:space="preserve">122</t>
  </si>
  <si>
    <t xml:space="preserve">Gelato Rosso Nero - Caixa 6 kg - Tradicional</t>
  </si>
  <si>
    <t xml:space="preserve">GL = Gelato | 122 = Ao Leite – Rosso Nero | C1 = Caixa 6 kg | TR = Tradicional</t>
  </si>
  <si>
    <t xml:space="preserve">PF-00025</t>
  </si>
  <si>
    <t xml:space="preserve">Snichelato</t>
  </si>
  <si>
    <t xml:space="preserve">123</t>
  </si>
  <si>
    <t xml:space="preserve">Gelato Snichelato - Caixa 6 kg - Tradicional</t>
  </si>
  <si>
    <t xml:space="preserve">GL = Gelato | 123 = Ao Leite – Snichelato | C1 = Caixa 6 kg | TR = Tradicional</t>
  </si>
  <si>
    <t xml:space="preserve">PF-00026</t>
  </si>
  <si>
    <t xml:space="preserve">Speculoos</t>
  </si>
  <si>
    <t xml:space="preserve">124</t>
  </si>
  <si>
    <t xml:space="preserve">Gelato Speculoos - Caixa 6 kg - Tradicional</t>
  </si>
  <si>
    <t xml:space="preserve">GL = Gelato | 124 = Ao Leite – Speculoos | C1 = Caixa 6 kg | TR = Tradicional</t>
  </si>
  <si>
    <t xml:space="preserve">PF-00027</t>
  </si>
  <si>
    <t xml:space="preserve">Tiramisù</t>
  </si>
  <si>
    <t xml:space="preserve">126</t>
  </si>
  <si>
    <t xml:space="preserve">Gelato Tiramisù - Caixa 6 kg - Tradicional</t>
  </si>
  <si>
    <t xml:space="preserve">GL = Gelato | 126 = Ao Leite – Tiramisù | C1 = Caixa 6 kg | TR = Tradicional</t>
  </si>
  <si>
    <t xml:space="preserve">PF-00028</t>
  </si>
  <si>
    <t xml:space="preserve">Torta de Limão</t>
  </si>
  <si>
    <t xml:space="preserve">Cx</t>
  </si>
  <si>
    <t xml:space="preserve">127</t>
  </si>
  <si>
    <t xml:space="preserve">Gelato Torta de Limão - Caixa 6 kg - Tradicional</t>
  </si>
  <si>
    <t xml:space="preserve">GL = Gelato | 127 = Ao Leite – Torta de Limão | C1 = Caixa 6 kg | TR = Tradicional</t>
  </si>
  <si>
    <t xml:space="preserve">Unidade cadastrada "Cx" diverge do padrão Kg dos demais gelatos.</t>
  </si>
  <si>
    <t xml:space="preserve">PF-00029</t>
  </si>
  <si>
    <t xml:space="preserve">Yogurt com Amarena</t>
  </si>
  <si>
    <t xml:space="preserve">128</t>
  </si>
  <si>
    <t xml:space="preserve">Gelato Yogurt com Amarena - Caixa 6 kg - Tradicional</t>
  </si>
  <si>
    <t xml:space="preserve">GL = Gelato | 128 = Ao Leite – Yogurt com Amarena | C1 = Caixa 6 kg | TR = Tradicional</t>
  </si>
  <si>
    <t xml:space="preserve">PF-00030</t>
  </si>
  <si>
    <t xml:space="preserve">Gianduia</t>
  </si>
  <si>
    <t xml:space="preserve">113</t>
  </si>
  <si>
    <t xml:space="preserve">Gelato Gianduia - Caixa 6 kg - Tradicional</t>
  </si>
  <si>
    <t xml:space="preserve">GL = Gelato | 113 = Ao Leite – Gianduia | C1 = Caixa 6 kg | TR = Tradicional</t>
  </si>
  <si>
    <t xml:space="preserve">PF-00031</t>
  </si>
  <si>
    <t xml:space="preserve">Picolé Yeez s/ Lactose Limão</t>
  </si>
  <si>
    <t xml:space="preserve">Un</t>
  </si>
  <si>
    <t xml:space="preserve">PC</t>
  </si>
  <si>
    <t xml:space="preserve">207</t>
  </si>
  <si>
    <t xml:space="preserve">XX</t>
  </si>
  <si>
    <t xml:space="preserve">Picolé Limão - A definir - Tradicional</t>
  </si>
  <si>
    <t xml:space="preserve">PC = Picolé | 207 = Base Frutas – Limão | XX = gramatura/embalagem a definir | TR = Tradicional</t>
  </si>
  <si>
    <t xml:space="preserve">B3 (gramatura/embalagem não identificável no cadastro); B2 (código de sabor novo)</t>
  </si>
  <si>
    <t xml:space="preserve">Cadastro não informa gramatura; ver aba Matriz Picolé (55/60/70/90 ou C2). Marca (YEEZ) não faz parte do SKU: mesmo sabor Luna gera código idêntico.</t>
  </si>
  <si>
    <t xml:space="preserve">PF-00032</t>
  </si>
  <si>
    <t xml:space="preserve">Picolé Yeez s/ Lactose Uva</t>
  </si>
  <si>
    <t xml:space="preserve">Picolé Uva - A definir - Tradicional</t>
  </si>
  <si>
    <t xml:space="preserve">PC = Picolé | 203 = Base Frutas – Uva | XX = gramatura/embalagem a definir | TR = Tradicional</t>
  </si>
  <si>
    <t xml:space="preserve">B3 (gramatura/embalagem não identificável no cadastro)</t>
  </si>
  <si>
    <t xml:space="preserve">PF-00033</t>
  </si>
  <si>
    <t xml:space="preserve">Picolé Yeez s/ Lactose Abacaxi c/ Hortelã</t>
  </si>
  <si>
    <t xml:space="preserve">204</t>
  </si>
  <si>
    <t xml:space="preserve">Picolé Abacaxi c/ Hortelã - A definir - Tradicional</t>
  </si>
  <si>
    <t xml:space="preserve">PC = Picolé | 204 = Base Frutas – Abacaxi c/ Hortelã | XX = gramatura/embalagem a definir | TR = Tradicional</t>
  </si>
  <si>
    <t xml:space="preserve">PF-00034</t>
  </si>
  <si>
    <t xml:space="preserve">Picolé Yeez s/ Lactose Manga</t>
  </si>
  <si>
    <t xml:space="preserve">Picolé Manga - A definir - Tradicional</t>
  </si>
  <si>
    <t xml:space="preserve">PC = Picolé | 200 = Base Frutas – Manga | XX = gramatura/embalagem a definir | TR = Tradicional</t>
  </si>
  <si>
    <t xml:space="preserve">PF-00035</t>
  </si>
  <si>
    <t xml:space="preserve">Picolé Yeez s/ Lactose Goiaba</t>
  </si>
  <si>
    <t xml:space="preserve">Picolé Goiaba - A definir - Tradicional</t>
  </si>
  <si>
    <t xml:space="preserve">PC = Picolé | 206 = Base Frutas – Goiaba | XX = gramatura/embalagem a definir | TR = Tradicional</t>
  </si>
  <si>
    <t xml:space="preserve">PF-00036</t>
  </si>
  <si>
    <t xml:space="preserve">Picolé Yeez s/ Lactose Morango</t>
  </si>
  <si>
    <t xml:space="preserve">CX</t>
  </si>
  <si>
    <t xml:space="preserve">Picolé Morango - A definir - Tradicional</t>
  </si>
  <si>
    <t xml:space="preserve">PC = Picolé | 201 = Base Frutas – Morango | XX = gramatura/embalagem a definir | TR = Tradicional</t>
  </si>
  <si>
    <t xml:space="preserve">PF-00037</t>
  </si>
  <si>
    <t xml:space="preserve">Picolé Yeez s/ Lactose Açaí</t>
  </si>
  <si>
    <t xml:space="preserve">205</t>
  </si>
  <si>
    <t xml:space="preserve">Picolé Açaí - A definir - Tradicional</t>
  </si>
  <si>
    <t xml:space="preserve">PC = Picolé | 205 = Base Frutas – Açaí | XX = gramatura/embalagem a definir | TR = Tradicional</t>
  </si>
  <si>
    <t xml:space="preserve">PF-00038</t>
  </si>
  <si>
    <t xml:space="preserve">Picolé Yeez s/ Lactose Melancia c/ Frutas</t>
  </si>
  <si>
    <t xml:space="preserve">301</t>
  </si>
  <si>
    <t xml:space="preserve">Picolé Melancia c/ Frutas - A definir - Tradicional</t>
  </si>
  <si>
    <t xml:space="preserve">PC = Picolé | 301 = Pedaços de Frutas – Melancia c/ Frutas | XX = gramatura/embalagem a definir | TR = Tradicional</t>
  </si>
  <si>
    <t xml:space="preserve">B3 (gramatura/embalagem não identificável no cadastro); B2 (código de sabor novo); B2 (classe a validar)</t>
  </si>
  <si>
    <t xml:space="preserve">PF-00039</t>
  </si>
  <si>
    <t xml:space="preserve">Picolé Yeez Leite ChocoYeez</t>
  </si>
  <si>
    <t xml:space="preserve">Picolé ChocoYeez - A definir - Tradicional</t>
  </si>
  <si>
    <t xml:space="preserve">PC = Picolé | 105 = Ao Leite – ChocoYeez | XX = gramatura/embalagem a definir | TR = Tradicional</t>
  </si>
  <si>
    <t xml:space="preserve">PF-00040</t>
  </si>
  <si>
    <t xml:space="preserve">Picolé Yeez Leite Coco Branco</t>
  </si>
  <si>
    <t xml:space="preserve">100</t>
  </si>
  <si>
    <t xml:space="preserve">Picolé Coco Branco - A definir - Tradicional</t>
  </si>
  <si>
    <t xml:space="preserve">PC = Picolé | 100 = Ao Leite – Coco Branco | XX = gramatura/embalagem a definir | TR = Tradicional</t>
  </si>
  <si>
    <t xml:space="preserve">PF-00041</t>
  </si>
  <si>
    <t xml:space="preserve">Picolé Yeez Leite Coco Queimado</t>
  </si>
  <si>
    <t xml:space="preserve">101</t>
  </si>
  <si>
    <t xml:space="preserve">Picolé Coco Queimado - A definir - Tradicional</t>
  </si>
  <si>
    <t xml:space="preserve">PC = Picolé | 101 = Ao Leite – Coco Queimado | XX = gramatura/embalagem a definir | TR = Tradicional</t>
  </si>
  <si>
    <t xml:space="preserve">PF-00042</t>
  </si>
  <si>
    <t xml:space="preserve">Picolé Yeez Leite Mousse de Maracujá</t>
  </si>
  <si>
    <t xml:space="preserve">404</t>
  </si>
  <si>
    <t xml:space="preserve">Picolé Mousse de Maracujá - A definir - Tradicional</t>
  </si>
  <si>
    <t xml:space="preserve">PC = Picolé | 404 = Recheados – Mousse de Maracujá | XX = gramatura/embalagem a definir | TR = Tradicional</t>
  </si>
  <si>
    <t xml:space="preserve">Cadastro não informa gramatura; ver aba Matriz Picolé (55/60/70/90 ou C2). Marca (YEEZ) não faz parte do SKU: mesmo sabor Luna gera código idêntico. Sabor 404 do modelo (Recheados), embora o cadastro Yeez o classifique como "Leite".</t>
  </si>
  <si>
    <t xml:space="preserve">PF-00043</t>
  </si>
  <si>
    <t xml:space="preserve">Picolé Yeez Leite Romeu e Julieta</t>
  </si>
  <si>
    <t xml:space="preserve">407</t>
  </si>
  <si>
    <t xml:space="preserve">Picolé Romeu e Julieta - A definir - Tradicional</t>
  </si>
  <si>
    <t xml:space="preserve">PC = Picolé | 407 = Recheados – Romeu e Julieta | XX = gramatura/embalagem a definir | TR = Tradicional</t>
  </si>
  <si>
    <t xml:space="preserve">PF-00044</t>
  </si>
  <si>
    <t xml:space="preserve">Picolé Passione Yeez ChocoBrownie</t>
  </si>
  <si>
    <t xml:space="preserve">400</t>
  </si>
  <si>
    <t xml:space="preserve">Picolé ChocoBrownie - A definir - Tradicional</t>
  </si>
  <si>
    <t xml:space="preserve">PC = Picolé | 400 = Recheados – ChocoBrownie | XX = gramatura/embalagem a definir | TR = Tradicional</t>
  </si>
  <si>
    <t xml:space="preserve">PF-00045</t>
  </si>
  <si>
    <t xml:space="preserve">Picolé Passione Yeez Doce de Leite</t>
  </si>
  <si>
    <t xml:space="preserve">401</t>
  </si>
  <si>
    <t xml:space="preserve">Picolé Doce de Leite - A definir - Tradicional</t>
  </si>
  <si>
    <t xml:space="preserve">PC = Picolé | 401 = Recheados – Doce de Leite | XX = gramatura/embalagem a definir | TR = Tradicional</t>
  </si>
  <si>
    <t xml:space="preserve">PF-00046</t>
  </si>
  <si>
    <t xml:space="preserve">Picolé Passione Yeez Maracujá c/ Leite Condensado</t>
  </si>
  <si>
    <t xml:space="preserve">Picolé Maracujá c/ Leite Condensado - A definir - Tradicional</t>
  </si>
  <si>
    <t xml:space="preserve">PC = Picolé | 106 = Ao Leite – Maracujá c/ Leite Condensado | XX = gramatura/embalagem a definir | TR = Tradicional</t>
  </si>
  <si>
    <t xml:space="preserve">PF-00047</t>
  </si>
  <si>
    <t xml:space="preserve">Picolé Passione Yeez Água de Coco c/ Frutas</t>
  </si>
  <si>
    <t xml:space="preserve">300</t>
  </si>
  <si>
    <t xml:space="preserve">Picolé Água de Coco c/ Frutas - A definir - Tradicional</t>
  </si>
  <si>
    <t xml:space="preserve">PC = Picolé | 300 = Pedaços de Frutas – Água de Coco c/ Frutas | XX = gramatura/embalagem a definir | TR = Tradicional</t>
  </si>
  <si>
    <t xml:space="preserve">PF-00048</t>
  </si>
  <si>
    <t xml:space="preserve">Picolé Passione Yeez Morango c/ Leite Condensado</t>
  </si>
  <si>
    <t xml:space="preserve">Picolé Morango c/ Leite Condensado - A definir - Tradicional</t>
  </si>
  <si>
    <t xml:space="preserve">PC = Picolé | 107 = Ao Leite – Morango c/ Leite Condensado | XX = gramatura/embalagem a definir | TR = Tradicional</t>
  </si>
  <si>
    <t xml:space="preserve">PF-00049</t>
  </si>
  <si>
    <t xml:space="preserve">Picolé Passione Yeez Leite Trufado</t>
  </si>
  <si>
    <t xml:space="preserve">402</t>
  </si>
  <si>
    <t xml:space="preserve">Picolé Leite Trufado - A definir - Tradicional</t>
  </si>
  <si>
    <t xml:space="preserve">PC = Picolé | 402 = Recheados – Leite Trufado | XX = gramatura/embalagem a definir | TR = Tradicional</t>
  </si>
  <si>
    <t xml:space="preserve">PF-00050</t>
  </si>
  <si>
    <t xml:space="preserve">Picolé Passione Plus Yeez Brigadeiro</t>
  </si>
  <si>
    <t xml:space="preserve">406</t>
  </si>
  <si>
    <t xml:space="preserve">Picolé Brigadeiro - A definir - Tradicional</t>
  </si>
  <si>
    <t xml:space="preserve">PC = Picolé | 406 = Recheados – Brigadeiro | XX = gramatura/embalagem a definir | TR = Tradicional</t>
  </si>
  <si>
    <t xml:space="preserve">Cadastro não informa gramatura; ver aba Matriz Picolé (55/60/70/90 ou C2). "Passione Plus" sem linha equivalente no modelo (possível CB/RC citado no simulador). Marca (YEEZ) não faz parte do SKU: mesmo sabor Luna gera código idêntico.</t>
  </si>
  <si>
    <t xml:space="preserve">PF-00051</t>
  </si>
  <si>
    <t xml:space="preserve">Picolé Passione Plus Yeez Açaí c/ Leite Condensado</t>
  </si>
  <si>
    <t xml:space="preserve">Picolé Açaí c/ Leite Condensado - A definir - Tradicional</t>
  </si>
  <si>
    <t xml:space="preserve">PC = Picolé | 102 = Ao Leite – Açaí c/ Leite Condensado | XX = gramatura/embalagem a definir | TR = Tradicional</t>
  </si>
  <si>
    <t xml:space="preserve">PF-00052</t>
  </si>
  <si>
    <t xml:space="preserve">Picolé Passione Plus Yeez Torta de Limão</t>
  </si>
  <si>
    <t xml:space="preserve">408</t>
  </si>
  <si>
    <t xml:space="preserve">Picolé Torta de Limão - A definir - Tradicional</t>
  </si>
  <si>
    <t xml:space="preserve">PC = Picolé | 408 = Recheados – Torta de Limão | XX = gramatura/embalagem a definir | TR = Tradicional</t>
  </si>
  <si>
    <t xml:space="preserve">PF-00053</t>
  </si>
  <si>
    <t xml:space="preserve">Picolé Algodão Doce</t>
  </si>
  <si>
    <t xml:space="preserve">Picolé Algodão Doce - A definir - Tradicional</t>
  </si>
  <si>
    <t xml:space="preserve">PC = Picolé | 103 = Ao Leite – Algodão Doce | XX = gramatura/embalagem a definir | TR = Tradicional</t>
  </si>
  <si>
    <t xml:space="preserve">PF-00054</t>
  </si>
  <si>
    <t xml:space="preserve">Picolé Chocolate Zero</t>
  </si>
  <si>
    <t xml:space="preserve">104</t>
  </si>
  <si>
    <t xml:space="preserve">ZR</t>
  </si>
  <si>
    <t xml:space="preserve">Picolé Chocolate Zero - A definir - Zero Açúcar</t>
  </si>
  <si>
    <t xml:space="preserve">PC = Picolé | 104 = Ao Leite – Chocolate Zero | XX = gramatura/embalagem a definir | ZR = Zero Açúcar</t>
  </si>
  <si>
    <t xml:space="preserve">B3 (gramatura/embalagem não identificável no cadastro); B2 (código de sabor novo); B2 (classe a validar); B4 (ZR inferido pelo nome)</t>
  </si>
  <si>
    <t xml:space="preserve">PF-00055</t>
  </si>
  <si>
    <t xml:space="preserve">Petit Gateau</t>
  </si>
  <si>
    <t xml:space="preserve">—</t>
  </si>
  <si>
    <t xml:space="preserve">Categoria Confeitaria sem Tipo no modelo (apenas GL e PC). Definir tipo/regra.</t>
  </si>
  <si>
    <t xml:space="preserve">PF-00056</t>
  </si>
  <si>
    <t xml:space="preserve">Massa de Casquinha</t>
  </si>
  <si>
    <t xml:space="preserve">PF-00057</t>
  </si>
  <si>
    <t xml:space="preserve">Chocolate 240g</t>
  </si>
  <si>
    <t xml:space="preserve">unid</t>
  </si>
  <si>
    <t xml:space="preserve">24</t>
  </si>
  <si>
    <t xml:space="preserve">Gelato Chocolate Belga - Pote de 240 g - Tradicional</t>
  </si>
  <si>
    <t xml:space="preserve">GL = Gelato | 101 = Ao Leite – Chocolate Belga | 24 = Pote de 240 g | TR = Tradicional</t>
  </si>
  <si>
    <t xml:space="preserve">B3 (tamanho 24 não existe no modelo)</t>
  </si>
  <si>
    <t xml:space="preserve">Premissa: pote "Chocolate" = Chocolate Belga (embalagem "belga"); confirmar vs. Chocolate Intenso. Pote de 240 g existe no cadastro mas não no modelo (só 12 e 36).</t>
  </si>
  <si>
    <t xml:space="preserve">PF-00058</t>
  </si>
  <si>
    <t xml:space="preserve">Chocolate 360g</t>
  </si>
  <si>
    <t xml:space="preserve">36</t>
  </si>
  <si>
    <t xml:space="preserve">Gelato Chocolate Belga - Pote de 360 g - Tradicional</t>
  </si>
  <si>
    <t xml:space="preserve">GL = Gelato | 101 = Ao Leite – Chocolate Belga | 36 = Pote de 360 g | TR = Tradicional</t>
  </si>
  <si>
    <t xml:space="preserve">Premissa: pote "Chocolate" = Chocolate Belga (embalagem "belga"); confirmar vs. Chocolate Intenso.</t>
  </si>
  <si>
    <t xml:space="preserve">PF-00059</t>
  </si>
  <si>
    <t xml:space="preserve">Coco 240g</t>
  </si>
  <si>
    <t xml:space="preserve">Gelato Coco Branco - Pote de 240 g - Tradicional</t>
  </si>
  <si>
    <t xml:space="preserve">GL = Gelato | 107 = Ao Leite – Coco Branco | 24 = Pote de 240 g | TR = Tradicional</t>
  </si>
  <si>
    <t xml:space="preserve">B2 (código de sabor novo); B3 (tamanho 24 não existe no modelo)</t>
  </si>
  <si>
    <t xml:space="preserve">Premissa: pote "Coco" = Coco Branco. Pote de 240 g existe no cadastro mas não no modelo (só 12 e 36).</t>
  </si>
  <si>
    <t xml:space="preserve">PF-00060</t>
  </si>
  <si>
    <t xml:space="preserve">Coco 360g</t>
  </si>
  <si>
    <t xml:space="preserve">Gelato Coco Branco - Pote de 360 g - Tradicional</t>
  </si>
  <si>
    <t xml:space="preserve">GL = Gelato | 107 = Ao Leite – Coco Branco | 36 = Pote de 360 g | TR = Tradicional</t>
  </si>
  <si>
    <t xml:space="preserve">B2 (código de sabor novo)</t>
  </si>
  <si>
    <t xml:space="preserve">Premissa: pote "Coco" = Coco Branco.</t>
  </si>
  <si>
    <t xml:space="preserve">PF-00061</t>
  </si>
  <si>
    <t xml:space="preserve">Doce de Leite 240g</t>
  </si>
  <si>
    <t xml:space="preserve">Gelato Doce de Leite - Pote de 240 g - Tradicional</t>
  </si>
  <si>
    <t xml:space="preserve">GL = Gelato | 110 = Ao Leite – Doce de Leite | 24 = Pote de 240 g | TR = Tradicional</t>
  </si>
  <si>
    <t xml:space="preserve">Pote de 240 g existe no cadastro mas não no modelo (só 12 e 36).</t>
  </si>
  <si>
    <t xml:space="preserve">PF-00062</t>
  </si>
  <si>
    <t xml:space="preserve">Doce de Leite 360g</t>
  </si>
  <si>
    <t xml:space="preserve">Gelato Doce de Leite - Pote de 360 g - Tradicional</t>
  </si>
  <si>
    <t xml:space="preserve">GL = Gelato | 110 = Ao Leite – Doce de Leite | 36 = Pote de 360 g | TR = Tradicional</t>
  </si>
  <si>
    <t xml:space="preserve">PF-00063</t>
  </si>
  <si>
    <t xml:space="preserve">Morango 240g</t>
  </si>
  <si>
    <t xml:space="preserve">109</t>
  </si>
  <si>
    <t xml:space="preserve">Gelato Creme de Morango - Pote de 240 g - Tradicional</t>
  </si>
  <si>
    <t xml:space="preserve">GL = Gelato | 109 = Ao Leite – Creme de Morango | 24 = Pote de 240 g | TR = Tradicional</t>
  </si>
  <si>
    <t xml:space="preserve">Premissa: pote "Morango" = Creme de Morango (ao leite); confirmar vs. Sorbet Morango. Pote de 240 g existe no cadastro mas não no modelo (só 12 e 36).</t>
  </si>
  <si>
    <t xml:space="preserve">PF-00064</t>
  </si>
  <si>
    <t xml:space="preserve">Morango 360g</t>
  </si>
  <si>
    <t xml:space="preserve">Gelato Creme de Morango - Pote de 360 g - Tradicional</t>
  </si>
  <si>
    <t xml:space="preserve">GL = Gelato | 109 = Ao Leite – Creme de Morango | 36 = Pote de 360 g | TR = Tradicional</t>
  </si>
  <si>
    <t xml:space="preserve">Premissa: pote "Morango" = Creme de Morango (ao leite); confirmar vs. Sorbet Morango.</t>
  </si>
  <si>
    <t xml:space="preserve">PF-00065</t>
  </si>
  <si>
    <t xml:space="preserve">Pistache 240g</t>
  </si>
  <si>
    <t xml:space="preserve">Gelato Pistache - Pote de 240 g - Tradicional</t>
  </si>
  <si>
    <t xml:space="preserve">GL = Gelato | 121 = Ao Leite – Pistache | 24 = Pote de 240 g | TR = Tradicional</t>
  </si>
  <si>
    <t xml:space="preserve">PF-00066</t>
  </si>
  <si>
    <t xml:space="preserve">Pistache 360g</t>
  </si>
  <si>
    <t xml:space="preserve">Gelato Pistache - Pote de 360 g - Tradicional</t>
  </si>
  <si>
    <t xml:space="preserve">GL = Gelato | 121 = Ao Leite – Pistache | 36 = Pote de 360 g | TR = Tradicional</t>
  </si>
  <si>
    <t xml:space="preserve">PF-00067</t>
  </si>
  <si>
    <t xml:space="preserve">Coco Queimado</t>
  </si>
  <si>
    <t xml:space="preserve">kg</t>
  </si>
  <si>
    <t xml:space="preserve">108</t>
  </si>
  <si>
    <t xml:space="preserve">Gelato Coco Queimado - Caixa 6 kg - Tradicional</t>
  </si>
  <si>
    <t xml:space="preserve">GL = Gelato | 108 = Ao Leite – Coco Queimado | C1 = Caixa 6 kg | TR = Tradicional</t>
  </si>
  <si>
    <t xml:space="preserve">PF-00068</t>
  </si>
  <si>
    <t xml:space="preserve">Grape Fruit</t>
  </si>
  <si>
    <t xml:space="preserve">202</t>
  </si>
  <si>
    <t xml:space="preserve">Gelato Sorbet Grape Fruit - Caixa 6 kg - Tradicional</t>
  </si>
  <si>
    <t xml:space="preserve">GL = Gelato | 202 = Sorbet – Grape Fruit | C1 = Caixa 6 kg | TR = Tradicional</t>
  </si>
  <si>
    <t xml:space="preserve">PF-00069</t>
  </si>
  <si>
    <t xml:space="preserve">Leite Trufado</t>
  </si>
  <si>
    <t xml:space="preserve">114</t>
  </si>
  <si>
    <t xml:space="preserve">Gelato Leite Trufado - Caixa 6 kg - Tradicional</t>
  </si>
  <si>
    <t xml:space="preserve">GL = Gelato | 114 = Ao Leite – Leite Trufado | C1 = Caixa 6 kg | TR = Tradicional</t>
  </si>
  <si>
    <t xml:space="preserve">PF-00070</t>
  </si>
  <si>
    <t xml:space="preserve">Manga com Maracujá Zero</t>
  </si>
  <si>
    <t xml:space="preserve">Gelato Sorbet Manga com Maracujá Zero - Caixa 6 kg - Zero Açúcar</t>
  </si>
  <si>
    <t xml:space="preserve">GL = Gelato | 204 = Sorbet – Manga com Maracujá Zero | C1 = Caixa 6 kg | ZR = Zero Açúcar</t>
  </si>
  <si>
    <t xml:space="preserve">B2 (código de sabor novo); B4 (ZR inferido pelo nome); B3 (embalagem C1 assumida – item cadastrado a granel)</t>
  </si>
  <si>
    <t xml:space="preserve">PF-00071</t>
  </si>
  <si>
    <t xml:space="preserve">Mousse de Pistache com laranja</t>
  </si>
  <si>
    <t xml:space="preserve">117</t>
  </si>
  <si>
    <t xml:space="preserve">Gelato Mousse de Pistache com Laranja - Caixa 6 kg - Tradicional</t>
  </si>
  <si>
    <t xml:space="preserve">GL = Gelato | 117 = Ao Leite – Mousse de Pistache com Laranja | C1 = Caixa 6 kg | TR = Tradicional</t>
  </si>
  <si>
    <t xml:space="preserve">PF-00072</t>
  </si>
  <si>
    <t xml:space="preserve">Paçoca</t>
  </si>
  <si>
    <t xml:space="preserve">119</t>
  </si>
  <si>
    <t xml:space="preserve">Gelato Paçoca - Caixa 6 kg - Tradicional</t>
  </si>
  <si>
    <t xml:space="preserve">GL = Gelato | 119 = Ao Leite – Paçoca | C1 = Caixa 6 kg | TR = Tradicional</t>
  </si>
  <si>
    <t xml:space="preserve">PF-00073</t>
  </si>
  <si>
    <t xml:space="preserve">Stracciatella</t>
  </si>
  <si>
    <t xml:space="preserve">125</t>
  </si>
  <si>
    <t xml:space="preserve">Gelato Stracciatella - Caixa 6 kg - Tradicional</t>
  </si>
  <si>
    <t xml:space="preserve">GL = Gelato | 125 = Ao Leite – Stracciatella | C1 = Caixa 6 kg | TR = Tradicional</t>
  </si>
  <si>
    <t xml:space="preserve">PF-00074</t>
  </si>
  <si>
    <t xml:space="preserve">Gelato de Café</t>
  </si>
  <si>
    <t xml:space="preserve">112</t>
  </si>
  <si>
    <t xml:space="preserve">Gelato Gelato de Café - Caixa 6 kg - Tradicional</t>
  </si>
  <si>
    <t xml:space="preserve">GL = Gelato | 112 = Ao Leite – Gelato de Café | C1 = Caixa 6 kg | TR = Tradicional</t>
  </si>
  <si>
    <t xml:space="preserve">PF-00075</t>
  </si>
  <si>
    <t xml:space="preserve">Sorbet Maracujá</t>
  </si>
  <si>
    <t xml:space="preserve">Gelato Sorbet Maracujá - Caixa 6 kg - Tradicional</t>
  </si>
  <si>
    <t xml:space="preserve">GL = Gelato | 205 = Sorbet – Maracujá | C1 = Caixa 6 kg | TR = Tradicional</t>
  </si>
  <si>
    <t xml:space="preserve">PF-00076</t>
  </si>
  <si>
    <t xml:space="preserve">Creme de Morango</t>
  </si>
  <si>
    <t xml:space="preserve">Gelato Creme de Morango - Caixa 6 kg - Tradicional</t>
  </si>
  <si>
    <t xml:space="preserve">GL = Gelato | 109 = Ao Leite – Creme de Morango | C1 = Caixa 6 kg | TR = Tradicional</t>
  </si>
  <si>
    <t xml:space="preserve">PF-00077</t>
  </si>
  <si>
    <t xml:space="preserve">Sorbet Zeríssimo</t>
  </si>
  <si>
    <t xml:space="preserve">Gelato Sorbet Zeríssimo - Caixa 6 kg - Zero Açúcar</t>
  </si>
  <si>
    <t xml:space="preserve">GL = Gelato | 207 = Sorbet – Zeríssimo | C1 = Caixa 6 kg | ZR = Zero Açúcar</t>
  </si>
  <si>
    <t xml:space="preserve">Unidade cadastrada "Un" diverge do padrão Kg dos demais gelatos.</t>
  </si>
  <si>
    <t xml:space="preserve">PF-00078</t>
  </si>
  <si>
    <t xml:space="preserve">Mousse de Maracuja</t>
  </si>
  <si>
    <t xml:space="preserve">116</t>
  </si>
  <si>
    <t xml:space="preserve">Gelato Mousse de Maracujá - Caixa 6 kg - Tradicional</t>
  </si>
  <si>
    <t xml:space="preserve">GL = Gelato | 116 = Ao Leite – Mousse de Maracujá | C1 = Caixa 6 kg | TR = Tradicional</t>
  </si>
  <si>
    <t xml:space="preserve">PF-00079</t>
  </si>
  <si>
    <t xml:space="preserve">Mocca</t>
  </si>
  <si>
    <t xml:space="preserve">115</t>
  </si>
  <si>
    <t xml:space="preserve">Gelato Mocca - Caixa 6 kg - Tradicional</t>
  </si>
  <si>
    <t xml:space="preserve">GL = Gelato | 115 = Ao Leite – Mocca | C1 = Caixa 6 kg | TR = Tradicional</t>
  </si>
  <si>
    <t xml:space="preserve">PF-00080</t>
  </si>
  <si>
    <t xml:space="preserve">Yogurt com Jabuticaba</t>
  </si>
  <si>
    <t xml:space="preserve">129</t>
  </si>
  <si>
    <t xml:space="preserve">Gelato Yogurt com Jabuticaba - Caixa 6 kg - Tradicional</t>
  </si>
  <si>
    <t xml:space="preserve">GL = Gelato | 129 = Ao Leite – Yogurt com Jabuticaba | C1 = Caixa 6 kg | TR = Tradicional</t>
  </si>
  <si>
    <t xml:space="preserve">PF-00081</t>
  </si>
  <si>
    <t xml:space="preserve">Duplicado de PF-00019 (sem vínculo com precificação). Sabor 200 é exemplo "a confirmar" no modelo.</t>
  </si>
  <si>
    <t xml:space="preserve">PF-00082</t>
  </si>
  <si>
    <t xml:space="preserve">Duplicado de PF-00017 (sem vínculo com precificação).</t>
  </si>
  <si>
    <t xml:space="preserve">PF-00083</t>
  </si>
  <si>
    <t xml:space="preserve">Chocolate Crocante - Proteico 150ml</t>
  </si>
  <si>
    <t xml:space="preserve">15</t>
  </si>
  <si>
    <t xml:space="preserve">PT</t>
  </si>
  <si>
    <t xml:space="preserve">Gelato Chocolate Crocante - Pote de 150 (g/ml) - Proteico</t>
  </si>
  <si>
    <t xml:space="preserve">GL = Gelato | 104 = Ao Leite – Chocolate Crocante | 15 = Pote de 150 (g/ml) | PT = Proteico</t>
  </si>
  <si>
    <t xml:space="preserve">B2 (código de sabor novo); B3 (tamanho 15 não existe no modelo); B4 (PT inferido pelo nome)</t>
  </si>
  <si>
    <t xml:space="preserve">Modelo prevê pote 120 g (12); OP usa 150 g; cadastro indica 150 ml. Código 15 proposto. Linha PT inferida pelo nome "Proteico".</t>
  </si>
  <si>
    <t xml:space="preserve">MP</t>
  </si>
  <si>
    <t xml:space="preserve">Matéria-Prima</t>
  </si>
  <si>
    <t xml:space="preserve">MP-00001</t>
  </si>
  <si>
    <t xml:space="preserve">Abacaxi</t>
  </si>
  <si>
    <t xml:space="preserve">FR</t>
  </si>
  <si>
    <t xml:space="preserve">AC</t>
  </si>
  <si>
    <t xml:space="preserve">Abacaxi – Hortifruti</t>
  </si>
  <si>
    <t xml:space="preserve">MP = Matéria-Prima | FR = FRUTA | 201 = Abacaxi (lista de frutas) | AC = Hortifruti</t>
  </si>
  <si>
    <t xml:space="preserve">B4 (armazenamento inferido)</t>
  </si>
  <si>
    <t xml:space="preserve">MP-00002</t>
  </si>
  <si>
    <t xml:space="preserve">Polpa de Açaí Congelado</t>
  </si>
  <si>
    <t xml:space="preserve">CG</t>
  </si>
  <si>
    <t xml:space="preserve">Polpa de Açaí Congelado – Congelado</t>
  </si>
  <si>
    <t xml:space="preserve">MP = Matéria-Prima | FR = FRUTA | 202 = Açaí (lista de frutas) | CG = Congelado</t>
  </si>
  <si>
    <t xml:space="preserve">MP-00003</t>
  </si>
  <si>
    <t xml:space="preserve">Açúcar refinado</t>
  </si>
  <si>
    <t xml:space="preserve">BA</t>
  </si>
  <si>
    <t xml:space="preserve">SC</t>
  </si>
  <si>
    <t xml:space="preserve">Açúcar refinado – Seco</t>
  </si>
  <si>
    <t xml:space="preserve">MP = Matéria-Prima | BA = BASE | 301 = Açúcar refinado | SC = Seco</t>
  </si>
  <si>
    <t xml:space="preserve">B3 (código novo); B4 (armazenamento inferido)</t>
  </si>
  <si>
    <t xml:space="preserve">MP-00004</t>
  </si>
  <si>
    <t xml:space="preserve">Amendoim Torrado e Granulado sem Sal</t>
  </si>
  <si>
    <t xml:space="preserve">Amendoim Torrado e Granulado sem Sal – Seco</t>
  </si>
  <si>
    <t xml:space="preserve">MP = Matéria-Prima | AC = ACABAMENTO | 401 = Amendoim Torrado e Granulado sem Sal | SC = Seco</t>
  </si>
  <si>
    <t xml:space="preserve">MP-00005</t>
  </si>
  <si>
    <t xml:space="preserve">Amora congelada</t>
  </si>
  <si>
    <t xml:space="preserve">276</t>
  </si>
  <si>
    <t xml:space="preserve">Amora congelada – Congelado</t>
  </si>
  <si>
    <t xml:space="preserve">MP = Matéria-Prima | FR = FRUTA | 276 = Amora congelada | CG = Congelado</t>
  </si>
  <si>
    <t xml:space="preserve">Fruta fora da lista A–Z (amora); código novo (276+).</t>
  </si>
  <si>
    <t xml:space="preserve">MP-00006</t>
  </si>
  <si>
    <t xml:space="preserve">Aroma de Guaraná</t>
  </si>
  <si>
    <t xml:space="preserve">AD</t>
  </si>
  <si>
    <t xml:space="preserve">700</t>
  </si>
  <si>
    <t xml:space="preserve">Aroma de Guaraná – Seco</t>
  </si>
  <si>
    <t xml:space="preserve">MP = Matéria-Prima | AD = ADITIVOS, AROMAS E AUXILIARES DE PROCESSO | 700 = Aroma de Guaraná | SC = Seco</t>
  </si>
  <si>
    <t xml:space="preserve">B2 (categoria nova); B3 (código novo); B4 (armazenamento inferido)</t>
  </si>
  <si>
    <t xml:space="preserve">MP-00007</t>
  </si>
  <si>
    <t xml:space="preserve">Base creme</t>
  </si>
  <si>
    <t xml:space="preserve">302</t>
  </si>
  <si>
    <t xml:space="preserve">Base creme – Seco</t>
  </si>
  <si>
    <t xml:space="preserve">MP = Matéria-Prima | BA = BASE | 302 = Base creme | SC = Seco</t>
  </si>
  <si>
    <t xml:space="preserve">MP-00008</t>
  </si>
  <si>
    <t xml:space="preserve">Base frutta</t>
  </si>
  <si>
    <t xml:space="preserve">303</t>
  </si>
  <si>
    <t xml:space="preserve">Base frutta – Seco</t>
  </si>
  <si>
    <t xml:space="preserve">MP = Matéria-Prima | BA = BASE | 303 = Base frutta | SC = Seco</t>
  </si>
  <si>
    <t xml:space="preserve">MP-00009</t>
  </si>
  <si>
    <t xml:space="preserve">Base G Frutte</t>
  </si>
  <si>
    <t xml:space="preserve">304</t>
  </si>
  <si>
    <t xml:space="preserve">Base G Frutte – Seco</t>
  </si>
  <si>
    <t xml:space="preserve">MP = Matéria-Prima | BA = BASE | 304 = Base G Frutte | SC = Seco</t>
  </si>
  <si>
    <t xml:space="preserve">MP-00010</t>
  </si>
  <si>
    <t xml:space="preserve">Biscoito champagne</t>
  </si>
  <si>
    <t xml:space="preserve">Biscoito champagne – Seco</t>
  </si>
  <si>
    <t xml:space="preserve">MP = Matéria-Prima | AC = ACABAMENTO | 402 = Biscoito champagne | SC = Seco</t>
  </si>
  <si>
    <t xml:space="preserve">MP-00011</t>
  </si>
  <si>
    <t xml:space="preserve">Biscoito tipo Maria</t>
  </si>
  <si>
    <t xml:space="preserve">403</t>
  </si>
  <si>
    <t xml:space="preserve">Biscoito tipo Maria – Seco</t>
  </si>
  <si>
    <t xml:space="preserve">MP = Matéria-Prima | AC = ACABAMENTO | 403 = Biscoito tipo Maria | SC = Seco</t>
  </si>
  <si>
    <t xml:space="preserve">MP-00012</t>
  </si>
  <si>
    <t xml:space="preserve">Cacau em pó vermelho 100% alcalino - Callebaut</t>
  </si>
  <si>
    <t xml:space="preserve">Cacau em pó vermelho 100% alcalino - Callebaut – Seco</t>
  </si>
  <si>
    <t xml:space="preserve">MP = Matéria-Prima | AC = ACABAMENTO | 404 = Cacau em pó vermelho 100% alcalino - Callebaut | SC = Seco</t>
  </si>
  <si>
    <t xml:space="preserve">MP-00016</t>
  </si>
  <si>
    <t xml:space="preserve">Canela em pó</t>
  </si>
  <si>
    <t xml:space="preserve">701</t>
  </si>
  <si>
    <t xml:space="preserve">Canela em pó – Seco</t>
  </si>
  <si>
    <t xml:space="preserve">MP = Matéria-Prima | AD = ADITIVOS, AROMAS E AUXILIARES DE PROCESSO | 701 = Canela em pó | SC = Seco</t>
  </si>
  <si>
    <t xml:space="preserve">MP-00017</t>
  </si>
  <si>
    <t xml:space="preserve">Chocolate amargo em gotas - Sicao</t>
  </si>
  <si>
    <t xml:space="preserve">405</t>
  </si>
  <si>
    <t xml:space="preserve">Chocolate amargo em gotas - Sicao – Seco</t>
  </si>
  <si>
    <t xml:space="preserve">MP = Matéria-Prima | AC = ACABAMENTO | 405 = Chocolate amargo em gotas - Sicao | SC = Seco</t>
  </si>
  <si>
    <t xml:space="preserve">MP-00018</t>
  </si>
  <si>
    <t xml:space="preserve">Chocolate ao leite em barra</t>
  </si>
  <si>
    <t xml:space="preserve">Chocolate ao leite em barra – Seco</t>
  </si>
  <si>
    <t xml:space="preserve">MP = Matéria-Prima | AC = ACABAMENTO | 406 = Chocolate ao leite em barra | SC = Seco</t>
  </si>
  <si>
    <t xml:space="preserve">MP-00019</t>
  </si>
  <si>
    <t xml:space="preserve">Chocolate ao leite em gotas fracionado - Sicao</t>
  </si>
  <si>
    <t xml:space="preserve">Chocolate ao leite em gotas fracionado - Sicao – Seco</t>
  </si>
  <si>
    <t xml:space="preserve">MP = Matéria-Prima | AC = ACABAMENTO | 407 = Chocolate ao leite em gotas fracionado - Sicao | SC = Seco</t>
  </si>
  <si>
    <t xml:space="preserve">MP-00020</t>
  </si>
  <si>
    <t xml:space="preserve">Chocolate ao leite em gotas - Sicao</t>
  </si>
  <si>
    <t xml:space="preserve">Chocolate ao leite em gotas - Sicao – Seco</t>
  </si>
  <si>
    <t xml:space="preserve">MP = Matéria-Prima | AC = ACABAMENTO | 408 = Chocolate ao leite em gotas - Sicao | SC = Seco</t>
  </si>
  <si>
    <t xml:space="preserve">MP-00021</t>
  </si>
  <si>
    <t xml:space="preserve">Chocolate branco em gotas</t>
  </si>
  <si>
    <t xml:space="preserve">409</t>
  </si>
  <si>
    <t xml:space="preserve">Chocolate branco em gotas – Seco</t>
  </si>
  <si>
    <t xml:space="preserve">MP = Matéria-Prima | AC = ACABAMENTO | 409 = Chocolate branco em gotas | SC = Seco</t>
  </si>
  <si>
    <t xml:space="preserve">MP-00022</t>
  </si>
  <si>
    <t xml:space="preserve">Clara pasteurizada - Maxxi Ovo</t>
  </si>
  <si>
    <t xml:space="preserve">OV</t>
  </si>
  <si>
    <t xml:space="preserve">500</t>
  </si>
  <si>
    <t xml:space="preserve">RF</t>
  </si>
  <si>
    <t xml:space="preserve">Clara pasteurizada - Maxxi Ovo – Refrigerado</t>
  </si>
  <si>
    <t xml:space="preserve">MP = Matéria-Prima | OV = OVOS E OVOPRODUTOS | 500 = Clara pasteurizada - Maxxi Ovo | RF = Refrigerado</t>
  </si>
  <si>
    <t xml:space="preserve">MP-00023</t>
  </si>
  <si>
    <t xml:space="preserve">Chocolate ao Leite Crunch - Esquimó Cobertura</t>
  </si>
  <si>
    <t xml:space="preserve">410</t>
  </si>
  <si>
    <t xml:space="preserve">Chocolate ao Leite Crunch - Esquimó Cobertura – Seco</t>
  </si>
  <si>
    <t xml:space="preserve">MP = Matéria-Prima | AC = ACABAMENTO | 410 = Chocolate ao Leite Crunch - Esquimó Cobertura | SC = Seco</t>
  </si>
  <si>
    <t xml:space="preserve">MP-00024</t>
  </si>
  <si>
    <t xml:space="preserve">Cobertura esquimó chocolate branco</t>
  </si>
  <si>
    <t xml:space="preserve">411</t>
  </si>
  <si>
    <t xml:space="preserve">Cobertura esquimó chocolate branco – Seco</t>
  </si>
  <si>
    <t xml:space="preserve">MP = Matéria-Prima | AC = ACABAMENTO | 411 = Cobertura esquimó chocolate branco | SC = Seco</t>
  </si>
  <si>
    <t xml:space="preserve">MP-00025</t>
  </si>
  <si>
    <t xml:space="preserve">Coco ralado flocos adoçado</t>
  </si>
  <si>
    <t xml:space="preserve">412</t>
  </si>
  <si>
    <t xml:space="preserve">Coco ralado flocos adoçado – Seco</t>
  </si>
  <si>
    <t xml:space="preserve">MP = Matéria-Prima | AC = ACABAMENTO | 412 = Coco ralado flocos adoçado | SC = Seco</t>
  </si>
  <si>
    <t xml:space="preserve">MP-00026</t>
  </si>
  <si>
    <t xml:space="preserve">Coco seco - fresco ralado</t>
  </si>
  <si>
    <t xml:space="preserve">277</t>
  </si>
  <si>
    <t xml:space="preserve">Coco seco - fresco ralado – Refrigerado</t>
  </si>
  <si>
    <t xml:space="preserve">MP = Matéria-Prima | FR = FRUTA | 277 = Coco seco - fresco ralado | RF = Refrigerado</t>
  </si>
  <si>
    <t xml:space="preserve">Fruta fora da lista A–Z (coco); código novo (276+).</t>
  </si>
  <si>
    <t xml:space="preserve">MP-00027</t>
  </si>
  <si>
    <t xml:space="preserve">Coco verde</t>
  </si>
  <si>
    <t xml:space="preserve">Sc</t>
  </si>
  <si>
    <t xml:space="preserve">278</t>
  </si>
  <si>
    <t xml:space="preserve">Coco verde – Hortifruti</t>
  </si>
  <si>
    <t xml:space="preserve">MP = Matéria-Prima | FR = FRUTA | 278 = Coco verde | AC = Hortifruti</t>
  </si>
  <si>
    <t xml:space="preserve">MP-00028</t>
  </si>
  <si>
    <t xml:space="preserve">Cream cheese</t>
  </si>
  <si>
    <t xml:space="preserve">LT</t>
  </si>
  <si>
    <t xml:space="preserve">Cream cheese – Refrigerado</t>
  </si>
  <si>
    <t xml:space="preserve">MP = Matéria-Prima | LT = LATICÍNIOS | 101 = Cream cheese | RF = Refrigerado</t>
  </si>
  <si>
    <t xml:space="preserve">MP-00029</t>
  </si>
  <si>
    <t xml:space="preserve">Creme de leite fresco 35%</t>
  </si>
  <si>
    <t xml:space="preserve">L</t>
  </si>
  <si>
    <t xml:space="preserve">Creme de leite fresco 35% – Refrigerado</t>
  </si>
  <si>
    <t xml:space="preserve">MP = Matéria-Prima | LT = LATICÍNIOS | 102 = Creme de leite fresco 35% | RF = Refrigerado</t>
  </si>
  <si>
    <t xml:space="preserve">MP-00030</t>
  </si>
  <si>
    <t xml:space="preserve">Delipaste banana - Fabbri</t>
  </si>
  <si>
    <t xml:space="preserve">413</t>
  </si>
  <si>
    <t xml:space="preserve">Delipaste banana - Fabbri – Seco</t>
  </si>
  <si>
    <t xml:space="preserve">MP = Matéria-Prima | AC = ACABAMENTO | 413 = Delipaste banana - Fabbri | SC = Seco</t>
  </si>
  <si>
    <t xml:space="preserve">MP-00031</t>
  </si>
  <si>
    <t xml:space="preserve">Delipaste Buonocioc</t>
  </si>
  <si>
    <t xml:space="preserve">414</t>
  </si>
  <si>
    <t xml:space="preserve">Delipaste Buonocioc – Seco</t>
  </si>
  <si>
    <t xml:space="preserve">MP = Matéria-Prima | AC = ACABAMENTO | 414 = Delipaste Buonocioc | SC = Seco</t>
  </si>
  <si>
    <t xml:space="preserve">MP-00032</t>
  </si>
  <si>
    <t xml:space="preserve">Pasta Galileo Gianduia</t>
  </si>
  <si>
    <t xml:space="preserve">415</t>
  </si>
  <si>
    <t xml:space="preserve">Pasta Galileo Gianduia – Seco</t>
  </si>
  <si>
    <t xml:space="preserve">MP = Matéria-Prima | AC = ACABAMENTO | 415 = Pasta Galileo Gianduia | SC = Seco</t>
  </si>
  <si>
    <t xml:space="preserve">MP-00033</t>
  </si>
  <si>
    <t xml:space="preserve">Pasta de Morango (Delipaste Fragola)</t>
  </si>
  <si>
    <t xml:space="preserve">416</t>
  </si>
  <si>
    <t xml:space="preserve">Pasta de Morango (Delipaste Fragola) – Seco</t>
  </si>
  <si>
    <t xml:space="preserve">MP = Matéria-Prima | AC = ACABAMENTO | 416 = Pasta de Morango (Delipaste Fragola) | SC = Seco</t>
  </si>
  <si>
    <t xml:space="preserve">MP-00034</t>
  </si>
  <si>
    <t xml:space="preserve">Pasta Zabaione</t>
  </si>
  <si>
    <t xml:space="preserve">417</t>
  </si>
  <si>
    <t xml:space="preserve">Pasta Zabaione – Seco</t>
  </si>
  <si>
    <t xml:space="preserve">MP = Matéria-Prima | AC = ACABAMENTO | 417 = Pasta Zabaione | SC = Seco</t>
  </si>
  <si>
    <t xml:space="preserve">MP-00035</t>
  </si>
  <si>
    <t xml:space="preserve">CERELOSE Dextrose 020010</t>
  </si>
  <si>
    <t xml:space="preserve">CERELOSE Dextrose 020010 – Seco</t>
  </si>
  <si>
    <t xml:space="preserve">MP = Matéria-Prima | BA = BASE | 300 = CERELOSE Dextrose 020010 | SC = Seco</t>
  </si>
  <si>
    <t xml:space="preserve">Código-âncora conforme exemplo do modelo MP.</t>
  </si>
  <si>
    <t xml:space="preserve">MP-00036</t>
  </si>
  <si>
    <t xml:space="preserve">Doce de leite – Seco</t>
  </si>
  <si>
    <t xml:space="preserve">MP = Matéria-Prima | LT = LATICÍNIOS | 103 = Doce de leite | SC = Seco</t>
  </si>
  <si>
    <t xml:space="preserve">MP-00037</t>
  </si>
  <si>
    <t xml:space="preserve">Essencia de baunilha Arcolor</t>
  </si>
  <si>
    <t xml:space="preserve">702</t>
  </si>
  <si>
    <t xml:space="preserve">Essencia de baunilha Arcolor – Seco</t>
  </si>
  <si>
    <t xml:space="preserve">MP = Matéria-Prima | AD = ADITIVOS, AROMAS E AUXILIARES DE PROCESSO | 702 = Essencia de baunilha Arcolor | SC = Seco</t>
  </si>
  <si>
    <t xml:space="preserve">MP-00038</t>
  </si>
  <si>
    <t xml:space="preserve">Fabbriyog</t>
  </si>
  <si>
    <t xml:space="preserve">305</t>
  </si>
  <si>
    <t xml:space="preserve">Fabbriyog – Seco</t>
  </si>
  <si>
    <t xml:space="preserve">MP = Matéria-Prima | BA = BASE | 305 = Fabbriyog | SC = Seco</t>
  </si>
  <si>
    <t xml:space="preserve">MP-00039</t>
  </si>
  <si>
    <t xml:space="preserve">Farinha de amêndoas</t>
  </si>
  <si>
    <t xml:space="preserve">CE</t>
  </si>
  <si>
    <t xml:space="preserve">800</t>
  </si>
  <si>
    <t xml:space="preserve">Farinha de amêndoas – Seco</t>
  </si>
  <si>
    <t xml:space="preserve">MP = Matéria-Prima | CE = CEREAIS, FARINHAS E AMIDOS | 800 = Farinha de amêndoas | SC = Seco</t>
  </si>
  <si>
    <t xml:space="preserve">MP-00040</t>
  </si>
  <si>
    <t xml:space="preserve">Farinha de trigo</t>
  </si>
  <si>
    <t xml:space="preserve">801</t>
  </si>
  <si>
    <t xml:space="preserve">Farinha de trigo – Seco</t>
  </si>
  <si>
    <t xml:space="preserve">MP = Matéria-Prima | CE = CEREAIS, FARINHAS E AMIDOS | 801 = Farinha de trigo | SC = Seco</t>
  </si>
  <si>
    <t xml:space="preserve">MP-00041</t>
  </si>
  <si>
    <t xml:space="preserve">Fermento químico em pó</t>
  </si>
  <si>
    <t xml:space="preserve">703</t>
  </si>
  <si>
    <t xml:space="preserve">Fermento químico em pó – Seco</t>
  </si>
  <si>
    <t xml:space="preserve">MP = Matéria-Prima | AD = ADITIVOS, AROMAS E AUXILIARES DE PROCESSO | 703 = Fermento químico em pó | SC = Seco</t>
  </si>
  <si>
    <t xml:space="preserve">MP-00042</t>
  </si>
  <si>
    <t xml:space="preserve">Framboesa congelada</t>
  </si>
  <si>
    <t xml:space="preserve">220</t>
  </si>
  <si>
    <t xml:space="preserve">Framboesa congelada – Congelado</t>
  </si>
  <si>
    <t xml:space="preserve">MP = Matéria-Prima | FR = FRUTA | 220 = Framboesa (lista de frutas) | CG = Congelado</t>
  </si>
  <si>
    <t xml:space="preserve">MP-00043</t>
  </si>
  <si>
    <t xml:space="preserve">MOR-REX 1940 - Glucose Sólida</t>
  </si>
  <si>
    <t xml:space="preserve">306</t>
  </si>
  <si>
    <t xml:space="preserve">MOR-REX 1940 - Glucose Sólida – Seco</t>
  </si>
  <si>
    <t xml:space="preserve">MP = Matéria-Prima | BA = BASE | 306 = MOR-REX 1940 - Glucose Sólida | SC = Seco</t>
  </si>
  <si>
    <t xml:space="preserve">MP-00044</t>
  </si>
  <si>
    <t xml:space="preserve">Goiabada cremosa</t>
  </si>
  <si>
    <t xml:space="preserve">418</t>
  </si>
  <si>
    <t xml:space="preserve">Goiabada cremosa – Seco</t>
  </si>
  <si>
    <t xml:space="preserve">MP = Matéria-Prima | AC = ACABAMENTO | 418 = Goiabada cremosa | SC = Seco</t>
  </si>
  <si>
    <t xml:space="preserve">MP-00045</t>
  </si>
  <si>
    <t xml:space="preserve">Granola</t>
  </si>
  <si>
    <t xml:space="preserve">419</t>
  </si>
  <si>
    <t xml:space="preserve">Granola – Seco</t>
  </si>
  <si>
    <t xml:space="preserve">MP = Matéria-Prima | AC = ACABAMENTO | 419 = Granola | SC = Seco</t>
  </si>
  <si>
    <t xml:space="preserve">MP-00046</t>
  </si>
  <si>
    <t xml:space="preserve">Granulado</t>
  </si>
  <si>
    <t xml:space="preserve">420</t>
  </si>
  <si>
    <t xml:space="preserve">Granulado – Seco</t>
  </si>
  <si>
    <t xml:space="preserve">MP = Matéria-Prima | AC = ACABAMENTO | 420 = Granulado | SC = Seco</t>
  </si>
  <si>
    <t xml:space="preserve">MP-00047</t>
  </si>
  <si>
    <t xml:space="preserve">Kiwi</t>
  </si>
  <si>
    <t xml:space="preserve">235</t>
  </si>
  <si>
    <t xml:space="preserve">Kiwi – Hortifruti</t>
  </si>
  <si>
    <t xml:space="preserve">MP = Matéria-Prima | FR = FRUTA | 235 = Kiwi (lista de frutas) | AC = Hortifruti</t>
  </si>
  <si>
    <t xml:space="preserve">MP-00048</t>
  </si>
  <si>
    <t xml:space="preserve">Leite condensado</t>
  </si>
  <si>
    <t xml:space="preserve">Leite condensado – Seco</t>
  </si>
  <si>
    <t xml:space="preserve">MP = Matéria-Prima | LT = LATICÍNIOS | 104 = Leite condensado | SC = Seco</t>
  </si>
  <si>
    <t xml:space="preserve">MP-00049</t>
  </si>
  <si>
    <t xml:space="preserve">Leite de coco</t>
  </si>
  <si>
    <t xml:space="preserve">279</t>
  </si>
  <si>
    <t xml:space="preserve">Leite de coco – Seco</t>
  </si>
  <si>
    <t xml:space="preserve">MP = Matéria-Prima | FR = FRUTA | 279 = Leite de coco | SC = Seco</t>
  </si>
  <si>
    <t xml:space="preserve">MP-00050</t>
  </si>
  <si>
    <t xml:space="preserve">Leite em pó desnatado</t>
  </si>
  <si>
    <t xml:space="preserve">Leite em pó desnatado – Seco</t>
  </si>
  <si>
    <t xml:space="preserve">MP = Matéria-Prima | LT = LATICÍNIOS | 105 = Leite em pó desnatado | SC = Seco</t>
  </si>
  <si>
    <t xml:space="preserve">MP-00051</t>
  </si>
  <si>
    <t xml:space="preserve">Leite em pó integral</t>
  </si>
  <si>
    <t xml:space="preserve">Leite em pó integral – Seco</t>
  </si>
  <si>
    <t xml:space="preserve">MP = Matéria-Prima | LT = LATICÍNIOS | 106 = Leite em pó integral | SC = Seco</t>
  </si>
  <si>
    <t xml:space="preserve">MP-00052</t>
  </si>
  <si>
    <t xml:space="preserve">Leite em pó Integral - Ninho</t>
  </si>
  <si>
    <t xml:space="preserve">Leite em pó Integral - Ninho – Seco</t>
  </si>
  <si>
    <t xml:space="preserve">MP = Matéria-Prima | LT = LATICÍNIOS | 107 = Leite em pó Integral - Ninho | SC = Seco</t>
  </si>
  <si>
    <t xml:space="preserve">MP-00053</t>
  </si>
  <si>
    <t xml:space="preserve">Leite integral tipo A 3%</t>
  </si>
  <si>
    <t xml:space="preserve">Leite integral tipo A 3% – Refrigerado</t>
  </si>
  <si>
    <t xml:space="preserve">MP = Matéria-Prima | LT = LATICÍNIOS | 100 = Leite integral tipo A 3% | RF = Refrigerado</t>
  </si>
  <si>
    <t xml:space="preserve">MP-00054</t>
  </si>
  <si>
    <t xml:space="preserve">Limão siciliano</t>
  </si>
  <si>
    <t xml:space="preserve">238</t>
  </si>
  <si>
    <t xml:space="preserve">Limão siciliano – Hortifruti</t>
  </si>
  <si>
    <t xml:space="preserve">MP = Matéria-Prima | FR = FRUTA | 238 = Limão (lista de frutas) | AC = Hortifruti</t>
  </si>
  <si>
    <t xml:space="preserve">MP-00055</t>
  </si>
  <si>
    <t xml:space="preserve">Limão tahiti</t>
  </si>
  <si>
    <t xml:space="preserve">280</t>
  </si>
  <si>
    <t xml:space="preserve">Limão tahiti – Hortifruti</t>
  </si>
  <si>
    <t xml:space="preserve">MP = Matéria-Prima | FR = FRUTA | 280 = Limão tahiti | AC = Hortifruti</t>
  </si>
  <si>
    <t xml:space="preserve">Variante de Limão: o código da lista (238) já está em uso com o mesmo armazenamento; código novo (276+).</t>
  </si>
  <si>
    <t xml:space="preserve">MP-00056</t>
  </si>
  <si>
    <t xml:space="preserve">Limone PG</t>
  </si>
  <si>
    <t xml:space="preserve">421</t>
  </si>
  <si>
    <t xml:space="preserve">Limone PG – Seco</t>
  </si>
  <si>
    <t xml:space="preserve">MP = Matéria-Prima | AC = ACABAMENTO | 421 = Limone PG | SC = Seco</t>
  </si>
  <si>
    <t xml:space="preserve">MP-00057</t>
  </si>
  <si>
    <t xml:space="preserve">MOR-REX 1920 - Maltodextrina</t>
  </si>
  <si>
    <t xml:space="preserve">307</t>
  </si>
  <si>
    <t xml:space="preserve">MOR-REX 1920 - Maltodextrina – Seco</t>
  </si>
  <si>
    <t xml:space="preserve">MP = Matéria-Prima | BA = BASE | 307 = MOR-REX 1920 - Maltodextrina | SC = Seco</t>
  </si>
  <si>
    <t xml:space="preserve">MP-00058</t>
  </si>
  <si>
    <t xml:space="preserve">Manga palmer</t>
  </si>
  <si>
    <t xml:space="preserve">243</t>
  </si>
  <si>
    <t xml:space="preserve">Manga palmer – Hortifruti</t>
  </si>
  <si>
    <t xml:space="preserve">MP = Matéria-Prima | FR = FRUTA | 243 = Manga (lista de frutas) | AC = Hortifruti</t>
  </si>
  <si>
    <t xml:space="preserve">MP-00059</t>
  </si>
  <si>
    <t xml:space="preserve">Manteiga sem sal</t>
  </si>
  <si>
    <t xml:space="preserve">Manteiga sem sal – Refrigerado</t>
  </si>
  <si>
    <t xml:space="preserve">MP = Matéria-Prima | LT = LATICÍNIOS | 108 = Manteiga sem sal | RF = Refrigerado</t>
  </si>
  <si>
    <t xml:space="preserve">MP-00060</t>
  </si>
  <si>
    <t xml:space="preserve">Maracujá com sementes</t>
  </si>
  <si>
    <t xml:space="preserve">244</t>
  </si>
  <si>
    <t xml:space="preserve">Maracujá com sementes – Congelado</t>
  </si>
  <si>
    <t xml:space="preserve">MP = Matéria-Prima | FR = FRUTA | 244 = Maracujá (lista de frutas) | CG = Congelado</t>
  </si>
  <si>
    <t xml:space="preserve">MP-00061</t>
  </si>
  <si>
    <t xml:space="preserve">Maracujá sem sementes</t>
  </si>
  <si>
    <t xml:space="preserve">281</t>
  </si>
  <si>
    <t xml:space="preserve">Maracujá sem sementes – Congelado</t>
  </si>
  <si>
    <t xml:space="preserve">MP = Matéria-Prima | FR = FRUTA | 281 = Maracujá sem sementes | CG = Congelado</t>
  </si>
  <si>
    <t xml:space="preserve">Variante de Maracujá: o código da lista (244) já está em uso com o mesmo armazenamento; código novo (276+).</t>
  </si>
  <si>
    <t xml:space="preserve">MP-00062</t>
  </si>
  <si>
    <t xml:space="preserve">Margarina</t>
  </si>
  <si>
    <t xml:space="preserve">GO</t>
  </si>
  <si>
    <t xml:space="preserve">600</t>
  </si>
  <si>
    <t xml:space="preserve">Margarina – Refrigerado</t>
  </si>
  <si>
    <t xml:space="preserve">MP = Matéria-Prima | GO = GORDURAS E ÓLEOS | 600 = Margarina | RF = Refrigerado</t>
  </si>
  <si>
    <t xml:space="preserve">MP-00063</t>
  </si>
  <si>
    <t xml:space="preserve">Queijo Mascarpone</t>
  </si>
  <si>
    <t xml:space="preserve">Queijo Mascarpone – Refrigerado</t>
  </si>
  <si>
    <t xml:space="preserve">MP = Matéria-Prima | LT = LATICÍNIOS | 109 = Queijo Mascarpone | RF = Refrigerado</t>
  </si>
  <si>
    <t xml:space="preserve">MP-00064</t>
  </si>
  <si>
    <t xml:space="preserve">Melancia</t>
  </si>
  <si>
    <t xml:space="preserve">245</t>
  </si>
  <si>
    <t xml:space="preserve">Melancia – Hortifruti</t>
  </si>
  <si>
    <t xml:space="preserve">MP = Matéria-Prima | FR = FRUTA | 245 = Melancia (lista de frutas) | AC = Hortifruti</t>
  </si>
  <si>
    <t xml:space="preserve">MP-00065</t>
  </si>
  <si>
    <t xml:space="preserve">Mirtilo congelado</t>
  </si>
  <si>
    <t xml:space="preserve">248</t>
  </si>
  <si>
    <t xml:space="preserve">Mirtilo congelado – Congelado</t>
  </si>
  <si>
    <t xml:space="preserve">MP = Matéria-Prima | FR = FRUTA | 248 = Mirtilo (lista de frutas) | CG = Congelado</t>
  </si>
  <si>
    <t xml:space="preserve">MP-00066</t>
  </si>
  <si>
    <t xml:space="preserve">Morango fresco fatiado</t>
  </si>
  <si>
    <t xml:space="preserve">247</t>
  </si>
  <si>
    <t xml:space="preserve">Morango fresco fatiado – Refrigerado</t>
  </si>
  <si>
    <t xml:space="preserve">MP = Matéria-Prima | FR = FRUTA | 247 = Morango (lista de frutas) | RF = Refrigerado</t>
  </si>
  <si>
    <t xml:space="preserve">MP-00067</t>
  </si>
  <si>
    <t xml:space="preserve">Morango congelado</t>
  </si>
  <si>
    <t xml:space="preserve">Morango congelado – Congelado</t>
  </si>
  <si>
    <t xml:space="preserve">MP = Matéria-Prima | FR = FRUTA | 247 = Morango (lista de frutas) | CG = Congelado</t>
  </si>
  <si>
    <t xml:space="preserve">MP-00068</t>
  </si>
  <si>
    <t xml:space="preserve">Nescau</t>
  </si>
  <si>
    <t xml:space="preserve">422</t>
  </si>
  <si>
    <t xml:space="preserve">Nescau – Seco</t>
  </si>
  <si>
    <t xml:space="preserve">MP = Matéria-Prima | AC = ACABAMENTO | 422 = Nescau | SC = Seco</t>
  </si>
  <si>
    <t xml:space="preserve">MP-00069</t>
  </si>
  <si>
    <t xml:space="preserve">Base 6</t>
  </si>
  <si>
    <t xml:space="preserve">308</t>
  </si>
  <si>
    <t xml:space="preserve">Base 6 – Seco</t>
  </si>
  <si>
    <t xml:space="preserve">MP = Matéria-Prima | BA = BASE | 308 = Base 6 | SC = Seco</t>
  </si>
  <si>
    <t xml:space="preserve">MP-00070</t>
  </si>
  <si>
    <t xml:space="preserve">Texfair ICE 710</t>
  </si>
  <si>
    <t xml:space="preserve">309</t>
  </si>
  <si>
    <t xml:space="preserve">Texfair ICE 710 – Seco</t>
  </si>
  <si>
    <t xml:space="preserve">MP = Matéria-Prima | BA = BASE | 309 = Texfair ICE 710 | SC = Seco</t>
  </si>
  <si>
    <t xml:space="preserve">MP-00071</t>
  </si>
  <si>
    <t xml:space="preserve">Nutty wow nocciola</t>
  </si>
  <si>
    <t xml:space="preserve">423</t>
  </si>
  <si>
    <t xml:space="preserve">Nutty wow nocciola – Seco</t>
  </si>
  <si>
    <t xml:space="preserve">MP = Matéria-Prima | AC = ACABAMENTO | 423 = Nutty wow nocciola | SC = Seco</t>
  </si>
  <si>
    <t xml:space="preserve">MP-00072</t>
  </si>
  <si>
    <t xml:space="preserve">Óleo de girassol / canola</t>
  </si>
  <si>
    <t xml:space="preserve">601</t>
  </si>
  <si>
    <t xml:space="preserve">Óleo de girassol / canola – Seco</t>
  </si>
  <si>
    <t xml:space="preserve">MP = Matéria-Prima | GO = GORDURAS E ÓLEOS | 601 = Óleo de girassol / canola | SC = Seco</t>
  </si>
  <si>
    <t xml:space="preserve">MP-00073</t>
  </si>
  <si>
    <t xml:space="preserve">Ovo pasteurizado</t>
  </si>
  <si>
    <t xml:space="preserve">501</t>
  </si>
  <si>
    <t xml:space="preserve">Ovo pasteurizado – Refrigerado</t>
  </si>
  <si>
    <t xml:space="preserve">MP = Matéria-Prima | OV = OVOS E OVOPRODUTOS | 501 = Ovo pasteurizado | RF = Refrigerado</t>
  </si>
  <si>
    <t xml:space="preserve">MP-00076</t>
  </si>
  <si>
    <t xml:space="preserve">Pistache Cru metade</t>
  </si>
  <si>
    <t xml:space="preserve">424</t>
  </si>
  <si>
    <t xml:space="preserve">Pistache Cru metade – Seco</t>
  </si>
  <si>
    <t xml:space="preserve">MP = Matéria-Prima | AC = ACABAMENTO | 424 = Pistache Cru metade | SC = Seco</t>
  </si>
  <si>
    <t xml:space="preserve">MP-00077</t>
  </si>
  <si>
    <t xml:space="preserve">Polidextrose Type II IMP</t>
  </si>
  <si>
    <t xml:space="preserve">310</t>
  </si>
  <si>
    <t xml:space="preserve">Polidextrose Type II IMP – Seco</t>
  </si>
  <si>
    <t xml:space="preserve">MP = Matéria-Prima | BA = BASE | 310 = Polidextrose Type II IMP | SC = Seco</t>
  </si>
  <si>
    <t xml:space="preserve">MP-00078</t>
  </si>
  <si>
    <t xml:space="preserve">Simplé Pompelmo rosa</t>
  </si>
  <si>
    <t xml:space="preserve">425</t>
  </si>
  <si>
    <t xml:space="preserve">Simplé Pompelmo rosa – Seco</t>
  </si>
  <si>
    <t xml:space="preserve">MP = Matéria-Prima | AC = ACABAMENTO | 425 = Simplé Pompelmo rosa | SC = Seco</t>
  </si>
  <si>
    <t xml:space="preserve">MP-00079</t>
  </si>
  <si>
    <t xml:space="preserve">Açucar Cristal</t>
  </si>
  <si>
    <t xml:space="preserve">311</t>
  </si>
  <si>
    <t xml:space="preserve">Açucar Cristal – Seco</t>
  </si>
  <si>
    <t xml:space="preserve">MP = Matéria-Prima | BA = BASE | 311 = Açucar Cristal | SC = Seco</t>
  </si>
  <si>
    <t xml:space="preserve">MP-00080</t>
  </si>
  <si>
    <t xml:space="preserve">Sal refinado</t>
  </si>
  <si>
    <t xml:space="preserve">704</t>
  </si>
  <si>
    <t xml:space="preserve">Sal refinado – Seco</t>
  </si>
  <si>
    <t xml:space="preserve">MP = Matéria-Prima | AD = ADITIVOS, AROMAS E AUXILIARES DE PROCESSO | 704 = Sal refinado | SC = Seco</t>
  </si>
  <si>
    <t xml:space="preserve">MP-00082</t>
  </si>
  <si>
    <t xml:space="preserve">Suco de uva integral</t>
  </si>
  <si>
    <t xml:space="preserve">268</t>
  </si>
  <si>
    <t xml:space="preserve">Suco de uva integral – Seco</t>
  </si>
  <si>
    <t xml:space="preserve">MP = Matéria-Prima | FR = FRUTA | 268 = Uva (lista de frutas) | SC = Seco</t>
  </si>
  <si>
    <t xml:space="preserve">MP-00083</t>
  </si>
  <si>
    <t xml:space="preserve">Uva vitória</t>
  </si>
  <si>
    <t xml:space="preserve">Uva vitória – Hortifruti</t>
  </si>
  <si>
    <t xml:space="preserve">MP = Matéria-Prima | FR = FRUTA | 268 = Uva (lista de frutas) | AC = Hortifruti</t>
  </si>
  <si>
    <t xml:space="preserve">MP-00084</t>
  </si>
  <si>
    <t xml:space="preserve">Vinagre</t>
  </si>
  <si>
    <t xml:space="preserve">705</t>
  </si>
  <si>
    <t xml:space="preserve">Vinagre – Seco</t>
  </si>
  <si>
    <t xml:space="preserve">MP = Matéria-Prima | AD = ADITIVOS, AROMAS E AUXILIARES DE PROCESSO | 705 = Vinagre | SC = Seco</t>
  </si>
  <si>
    <t xml:space="preserve">MP-00085</t>
  </si>
  <si>
    <t xml:space="preserve">Ácido cítrico</t>
  </si>
  <si>
    <t xml:space="preserve">706</t>
  </si>
  <si>
    <t xml:space="preserve">Ácido cítrico – Seco</t>
  </si>
  <si>
    <t xml:space="preserve">MP = Matéria-Prima | AD = ADITIVOS, AROMAS E AUXILIARES DE PROCESSO | 706 = Ácido cítrico | SC = Seco</t>
  </si>
  <si>
    <t xml:space="preserve">MP-00086</t>
  </si>
  <si>
    <t xml:space="preserve">Variegato Pistacchio choco Dubai</t>
  </si>
  <si>
    <t xml:space="preserve">426</t>
  </si>
  <si>
    <t xml:space="preserve">Variegato Pistacchio choco Dubai – Seco</t>
  </si>
  <si>
    <t xml:space="preserve">MP = Matéria-Prima | AC = ACABAMENTO | 426 = Variegato Pistacchio choco Dubai | SC = Seco</t>
  </si>
  <si>
    <t xml:space="preserve">MP-00087</t>
  </si>
  <si>
    <t xml:space="preserve">Suco concentrado maracujá</t>
  </si>
  <si>
    <t xml:space="preserve">Suco concentrado maracujá – Refrigerado</t>
  </si>
  <si>
    <t xml:space="preserve">MP = Matéria-Prima | FR = FRUTA | 244 = Maracujá (lista de frutas) | RF = Refrigerado</t>
  </si>
  <si>
    <t xml:space="preserve">MP-00088</t>
  </si>
  <si>
    <t xml:space="preserve">Nutty Caramelo Salgado</t>
  </si>
  <si>
    <t xml:space="preserve">427</t>
  </si>
  <si>
    <t xml:space="preserve">Nutty Caramelo Salgado – Seco</t>
  </si>
  <si>
    <t xml:space="preserve">MP = Matéria-Prima | AC = ACABAMENTO | 427 = Nutty Caramelo Salgado | SC = Seco</t>
  </si>
  <si>
    <t xml:space="preserve">MP-00089</t>
  </si>
  <si>
    <t xml:space="preserve">Nutty Pistache - Fabbri</t>
  </si>
  <si>
    <t xml:space="preserve">428</t>
  </si>
  <si>
    <t xml:space="preserve">Nutty Pistache - Fabbri – Seco</t>
  </si>
  <si>
    <t xml:space="preserve">MP = Matéria-Prima | AC = ACABAMENTO | 428 = Nutty Pistache - Fabbri | SC = Seco</t>
  </si>
  <si>
    <t xml:space="preserve">MP-00090</t>
  </si>
  <si>
    <t xml:space="preserve">Copertura Cioccolato Bianco tipo M (Stracciatella branca)</t>
  </si>
  <si>
    <t xml:space="preserve">429</t>
  </si>
  <si>
    <t xml:space="preserve">Copertura Cioccolato Bianco tipo M (Stracciatella branca) – Seco</t>
  </si>
  <si>
    <t xml:space="preserve">MP = Matéria-Prima | AC = ACABAMENTO | 429 = Copertura Cioccolato Bianco tipo M (Stracciatella branca) | SC = Seco</t>
  </si>
  <si>
    <t xml:space="preserve">MP-00091</t>
  </si>
  <si>
    <t xml:space="preserve">Yoghin</t>
  </si>
  <si>
    <t xml:space="preserve">312</t>
  </si>
  <si>
    <t xml:space="preserve">Yoghin – Seco</t>
  </si>
  <si>
    <t xml:space="preserve">MP = Matéria-Prima | BA = BASE | 312 = Yoghin | SC = Seco</t>
  </si>
  <si>
    <t xml:space="preserve">MP-00092</t>
  </si>
  <si>
    <t xml:space="preserve">Base M</t>
  </si>
  <si>
    <t xml:space="preserve">313</t>
  </si>
  <si>
    <t xml:space="preserve">Base M – Seco</t>
  </si>
  <si>
    <t xml:space="preserve">MP = Matéria-Prima | BA = BASE | 313 = Base M | SC = Seco</t>
  </si>
  <si>
    <t xml:space="preserve">MP-00093</t>
  </si>
  <si>
    <t xml:space="preserve">Cacao Miscela</t>
  </si>
  <si>
    <t xml:space="preserve">430</t>
  </si>
  <si>
    <t xml:space="preserve">Cacao Miscela – Seco</t>
  </si>
  <si>
    <t xml:space="preserve">MP = Matéria-Prima | AC = ACABAMENTO | 430 = Cacao Miscela | SC = Seco</t>
  </si>
  <si>
    <t xml:space="preserve">MP-00094</t>
  </si>
  <si>
    <t xml:space="preserve">Base em pó sem açúcar</t>
  </si>
  <si>
    <t xml:space="preserve">314</t>
  </si>
  <si>
    <t xml:space="preserve">Base em pó sem açúcar – Seco</t>
  </si>
  <si>
    <t xml:space="preserve">MP = Matéria-Prima | BA = BASE | 314 = Base em pó sem açúcar | SC = Seco</t>
  </si>
  <si>
    <t xml:space="preserve">MP-00095</t>
  </si>
  <si>
    <t xml:space="preserve">Base Limone 50</t>
  </si>
  <si>
    <t xml:space="preserve">315</t>
  </si>
  <si>
    <t xml:space="preserve">Base Limone 50 – Seco</t>
  </si>
  <si>
    <t xml:space="preserve">MP = Matéria-Prima | BA = BASE | 315 = Base Limone 50 | SC = Seco</t>
  </si>
  <si>
    <t xml:space="preserve">MP-00096</t>
  </si>
  <si>
    <t xml:space="preserve">Variegato Cookies Spicy</t>
  </si>
  <si>
    <t xml:space="preserve">431</t>
  </si>
  <si>
    <t xml:space="preserve">Variegato Cookies Spicy – Seco</t>
  </si>
  <si>
    <t xml:space="preserve">MP = Matéria-Prima | AC = ACABAMENTO | 431 = Variegato Cookies Spicy | SC = Seco</t>
  </si>
  <si>
    <t xml:space="preserve">MP-00097</t>
  </si>
  <si>
    <t xml:space="preserve">(vazio)</t>
  </si>
  <si>
    <t xml:space="preserve">Registro vazio no cadastro (sem nome/unidade). Excluir ou preencher antes de codificar.</t>
  </si>
  <si>
    <t xml:space="preserve">MP-00098</t>
  </si>
  <si>
    <t xml:space="preserve">Variegato Quello - MEC3</t>
  </si>
  <si>
    <t xml:space="preserve">432</t>
  </si>
  <si>
    <t xml:space="preserve">Variegato Quello - MEC3 – Seco</t>
  </si>
  <si>
    <t xml:space="preserve">MP = Matéria-Prima | AC = ACABAMENTO | 432 = Variegato Quello - MEC3 | SC = Seco</t>
  </si>
  <si>
    <t xml:space="preserve">MP-00099</t>
  </si>
  <si>
    <t xml:space="preserve">Pasta Pistacchio 100% California</t>
  </si>
  <si>
    <t xml:space="preserve">Pasta Pistacchio 100% California – Seco</t>
  </si>
  <si>
    <t xml:space="preserve">MP = Matéria-Prima | AC = ACABAMENTO | 400 = Pasta Pistacchio 100% California | SC = Seco</t>
  </si>
  <si>
    <t xml:space="preserve">MP-00100</t>
  </si>
  <si>
    <t xml:space="preserve">Pesto Passoká - MEC3</t>
  </si>
  <si>
    <t xml:space="preserve">433</t>
  </si>
  <si>
    <t xml:space="preserve">Pesto Passoká - MEC3 – Seco</t>
  </si>
  <si>
    <t xml:space="preserve">MP = Matéria-Prima | AC = ACABAMENTO | 433 = Pesto Passoká - MEC3 | SC = Seco</t>
  </si>
  <si>
    <t xml:space="preserve">MP-00101</t>
  </si>
  <si>
    <t xml:space="preserve">Creme de avelã</t>
  </si>
  <si>
    <t xml:space="preserve">434</t>
  </si>
  <si>
    <t xml:space="preserve">Creme de avelã – Seco</t>
  </si>
  <si>
    <t xml:space="preserve">MP = Matéria-Prima | AC = ACABAMENTO | 434 = Creme de avelã | SC = Seco</t>
  </si>
  <si>
    <t xml:space="preserve">MP-00102</t>
  </si>
  <si>
    <t xml:space="preserve">Banana</t>
  </si>
  <si>
    <t xml:space="preserve">Banana – Hortifruti</t>
  </si>
  <si>
    <t xml:space="preserve">MP = Matéria-Prima | FR = FRUTA | 205 = Banana (lista de frutas) | AC = Hortifruti</t>
  </si>
  <si>
    <t xml:space="preserve">MP-00103</t>
  </si>
  <si>
    <t xml:space="preserve">Zeríssimo Black</t>
  </si>
  <si>
    <t xml:space="preserve">316</t>
  </si>
  <si>
    <t xml:space="preserve">Zeríssimo Black – Seco</t>
  </si>
  <si>
    <t xml:space="preserve">MP = Matéria-Prima | BA = BASE | 316 = Zeríssimo Black | SC = Seco</t>
  </si>
  <si>
    <t xml:space="preserve">MP-00104</t>
  </si>
  <si>
    <t xml:space="preserve">Paçoquita</t>
  </si>
  <si>
    <t xml:space="preserve">435</t>
  </si>
  <si>
    <t xml:space="preserve">Paçoquita – Seco</t>
  </si>
  <si>
    <t xml:space="preserve">MP = Matéria-Prima | AC = ACABAMENTO | 435 = Paçoquita | SC = Seco</t>
  </si>
  <si>
    <t xml:space="preserve">MP-00105</t>
  </si>
  <si>
    <t xml:space="preserve">Variegato Crocolósi Café - Fabbri</t>
  </si>
  <si>
    <t xml:space="preserve">436</t>
  </si>
  <si>
    <t xml:space="preserve">Variegato Crocolósi Café - Fabbri – Seco</t>
  </si>
  <si>
    <t xml:space="preserve">MP = Matéria-Prima | AC = ACABAMENTO | 436 = Variegato Crocolósi Café - Fabbri | SC = Seco</t>
  </si>
  <si>
    <t xml:space="preserve">MP-00106</t>
  </si>
  <si>
    <t xml:space="preserve">Delipaste Crocolósi Café - Fabbri</t>
  </si>
  <si>
    <t xml:space="preserve">437</t>
  </si>
  <si>
    <t xml:space="preserve">Delipaste Crocolósi Café - Fabbri – Seco</t>
  </si>
  <si>
    <t xml:space="preserve">MP = Matéria-Prima | AC = ACABAMENTO | 437 = Delipaste Crocolósi Café - Fabbri | SC = Seco</t>
  </si>
  <si>
    <t xml:space="preserve">MP-00107</t>
  </si>
  <si>
    <t xml:space="preserve">Variegato Amarena Italia</t>
  </si>
  <si>
    <t xml:space="preserve">438</t>
  </si>
  <si>
    <t xml:space="preserve">Variegato Amarena Italia – Seco</t>
  </si>
  <si>
    <t xml:space="preserve">MP = Matéria-Prima | AC = ACABAMENTO | 438 = Variegato Amarena Italia | SC = Seco</t>
  </si>
  <si>
    <t xml:space="preserve">MP-00108</t>
  </si>
  <si>
    <t xml:space="preserve">Água</t>
  </si>
  <si>
    <t xml:space="preserve">707</t>
  </si>
  <si>
    <t xml:space="preserve">Água – Seco</t>
  </si>
  <si>
    <t xml:space="preserve">MP = Matéria-Prima | AD = ADITIVOS, AROMAS E AUXILIARES DE PROCESSO | 707 = Água | SC = Seco</t>
  </si>
  <si>
    <t xml:space="preserve">MP-00109</t>
  </si>
  <si>
    <t xml:space="preserve">Cacau Micela</t>
  </si>
  <si>
    <t xml:space="preserve">439</t>
  </si>
  <si>
    <t xml:space="preserve">Cacau Micela – Seco</t>
  </si>
  <si>
    <t xml:space="preserve">MP = Matéria-Prima | AC = ACABAMENTO | 439 = Cacau Micela | SC = Seco</t>
  </si>
  <si>
    <t xml:space="preserve">MP-00110</t>
  </si>
  <si>
    <t xml:space="preserve">Cacau Micela - MEC</t>
  </si>
  <si>
    <t xml:space="preserve">440</t>
  </si>
  <si>
    <t xml:space="preserve">Cacau Micela - MEC – Seco</t>
  </si>
  <si>
    <t xml:space="preserve">MP = Matéria-Prima | AC = ACABAMENTO | 440 = Cacau Micela - MEC | SC = Seco</t>
  </si>
  <si>
    <t xml:space="preserve">MP-00111</t>
  </si>
  <si>
    <t xml:space="preserve">Glucose de milho 40/82 BD</t>
  </si>
  <si>
    <t xml:space="preserve">317</t>
  </si>
  <si>
    <t xml:space="preserve">Glucose de milho 40/82 BD – Seco</t>
  </si>
  <si>
    <t xml:space="preserve">MP = Matéria-Prima | BA = BASE | 317 = Glucose de milho 40/82 BD | SC = Seco</t>
  </si>
  <si>
    <t xml:space="preserve">MP-00112</t>
  </si>
  <si>
    <t xml:space="preserve">Maracujá</t>
  </si>
  <si>
    <t xml:space="preserve">Maracujá – Hortifruti</t>
  </si>
  <si>
    <t xml:space="preserve">MP = Matéria-Prima | FR = FRUTA | 244 = Maracujá (lista de frutas) | AC = Hortifruti</t>
  </si>
  <si>
    <t xml:space="preserve">MP-00113</t>
  </si>
  <si>
    <t xml:space="preserve">Variegato Laranja</t>
  </si>
  <si>
    <t xml:space="preserve">441</t>
  </si>
  <si>
    <t xml:space="preserve">Variegato Laranja – Seco</t>
  </si>
  <si>
    <t xml:space="preserve">MP = Matéria-Prima | AC = ACABAMENTO | 441 = Variegato Laranja | SC = Seco</t>
  </si>
  <si>
    <t xml:space="preserve">MP-00114</t>
  </si>
  <si>
    <t xml:space="preserve">Variegato Stracciatella</t>
  </si>
  <si>
    <t xml:space="preserve">442</t>
  </si>
  <si>
    <t xml:space="preserve">Variegato Stracciatella – Seco</t>
  </si>
  <si>
    <t xml:space="preserve">MP = Matéria-Prima | AC = ACABAMENTO | 442 = Variegato Stracciatella | SC = Seco</t>
  </si>
  <si>
    <t xml:space="preserve">MP-00115</t>
  </si>
  <si>
    <t xml:space="preserve">Mescla de Morango com Pedaços (Variegato Fragola)</t>
  </si>
  <si>
    <t xml:space="preserve">443</t>
  </si>
  <si>
    <t xml:space="preserve">Mescla de Morango com Pedaços (Variegato Fragola) – Seco</t>
  </si>
  <si>
    <t xml:space="preserve">MP = Matéria-Prima | AC = ACABAMENTO | 443 = Mescla de Morango com Pedaços (Variegato Fragola) | SC = Seco</t>
  </si>
  <si>
    <t xml:space="preserve">MP-00116</t>
  </si>
  <si>
    <t xml:space="preserve">Pasta Fragolla</t>
  </si>
  <si>
    <t xml:space="preserve">444</t>
  </si>
  <si>
    <t xml:space="preserve">Pasta Fragolla – Seco</t>
  </si>
  <si>
    <t xml:space="preserve">MP = Matéria-Prima | AC = ACABAMENTO | 444 = Pasta Fragolla | SC = Seco</t>
  </si>
  <si>
    <t xml:space="preserve">MP-00117</t>
  </si>
  <si>
    <t xml:space="preserve">Chocolate ao Leite Callebaut</t>
  </si>
  <si>
    <t xml:space="preserve">445</t>
  </si>
  <si>
    <t xml:space="preserve">Chocolate ao Leite Callebaut – Seco</t>
  </si>
  <si>
    <t xml:space="preserve">MP = Matéria-Prima | AC = ACABAMENTO | 445 = Chocolate ao Leite Callebaut | SC = Seco</t>
  </si>
  <si>
    <t xml:space="preserve">MP-00118</t>
  </si>
  <si>
    <t xml:space="preserve">Cacau Callebaut</t>
  </si>
  <si>
    <t xml:space="preserve">446</t>
  </si>
  <si>
    <t xml:space="preserve">Cacau Callebaut – Seco</t>
  </si>
  <si>
    <t xml:space="preserve">MP = Matéria-Prima | AC = ACABAMENTO | 446 = Cacau Callebaut | SC = Seco</t>
  </si>
  <si>
    <t xml:space="preserve">MP-00119</t>
  </si>
  <si>
    <t xml:space="preserve">Limone L</t>
  </si>
  <si>
    <t xml:space="preserve">447</t>
  </si>
  <si>
    <t xml:space="preserve">Limone L – Seco</t>
  </si>
  <si>
    <t xml:space="preserve">MP = Matéria-Prima | AC = ACABAMENTO | 447 = Limone L | SC = Seco</t>
  </si>
  <si>
    <t xml:space="preserve">MP-00120</t>
  </si>
  <si>
    <t xml:space="preserve">Variegato Lemon Cookie Meringue - MEC3</t>
  </si>
  <si>
    <t xml:space="preserve">448</t>
  </si>
  <si>
    <t xml:space="preserve">Variegato Lemon Cookie Meringue - MEC3 – Seco</t>
  </si>
  <si>
    <t xml:space="preserve">MP = Matéria-Prima | AC = ACABAMENTO | 448 = Variegato Lemon Cookie Meringue - MEC3 | SC = Seco</t>
  </si>
  <si>
    <t xml:space="preserve">MP-00121</t>
  </si>
  <si>
    <t xml:space="preserve">Mescla Crockolosi Merengue c/ cho Branco</t>
  </si>
  <si>
    <t xml:space="preserve">449</t>
  </si>
  <si>
    <t xml:space="preserve">Mescla Crockolosi Merengue c/ cho Branco – Seco</t>
  </si>
  <si>
    <t xml:space="preserve">MP = Matéria-Prima | AC = ACABAMENTO | 449 = Mescla Crockolosi Merengue c/ cho Branco | SC = Seco</t>
  </si>
  <si>
    <t xml:space="preserve">MP-00122</t>
  </si>
  <si>
    <t xml:space="preserve">Variegato Quello</t>
  </si>
  <si>
    <t xml:space="preserve">450</t>
  </si>
  <si>
    <t xml:space="preserve">Variegato Quello – Seco</t>
  </si>
  <si>
    <t xml:space="preserve">MP = Matéria-Prima | AC = ACABAMENTO | 450 = Variegato Quello | SC = Seco</t>
  </si>
  <si>
    <t xml:space="preserve">MP-00123</t>
  </si>
  <si>
    <t xml:space="preserve">Sal</t>
  </si>
  <si>
    <t xml:space="preserve">708</t>
  </si>
  <si>
    <t xml:space="preserve">Sal – Seco</t>
  </si>
  <si>
    <t xml:space="preserve">MP = Matéria-Prima | AD = ADITIVOS, AROMAS E AUXILIARES DE PROCESSO | 708 = Sal | SC = Seco</t>
  </si>
  <si>
    <t xml:space="preserve">MP-00124</t>
  </si>
  <si>
    <t xml:space="preserve">Gotas de Limão</t>
  </si>
  <si>
    <t xml:space="preserve">451</t>
  </si>
  <si>
    <t xml:space="preserve">Gotas de Limão – Seco</t>
  </si>
  <si>
    <t xml:space="preserve">MP = Matéria-Prima | AC = ACABAMENTO | 451 = Gotas de Limão | SC = Seco</t>
  </si>
  <si>
    <t xml:space="preserve">MP-00125</t>
  </si>
  <si>
    <t xml:space="preserve">Maracujá azedo</t>
  </si>
  <si>
    <t xml:space="preserve">282</t>
  </si>
  <si>
    <t xml:space="preserve">Maracujá azedo – Hortifruti</t>
  </si>
  <si>
    <t xml:space="preserve">MP = Matéria-Prima | FR = FRUTA | 282 = Maracujá azedo | AC = Hortifruti</t>
  </si>
  <si>
    <t xml:space="preserve">MP-00126</t>
  </si>
  <si>
    <t xml:space="preserve">Variegato Buonocioc</t>
  </si>
  <si>
    <t xml:space="preserve">452</t>
  </si>
  <si>
    <t xml:space="preserve">Variegato Buonocioc – Seco</t>
  </si>
  <si>
    <t xml:space="preserve">MP = Matéria-Prima | AC = ACABAMENTO | 452 = Variegato Buonocioc | SC = Seco</t>
  </si>
  <si>
    <t xml:space="preserve">MP-00127</t>
  </si>
  <si>
    <t xml:space="preserve">Chocolate (Mocca)</t>
  </si>
  <si>
    <t xml:space="preserve">453</t>
  </si>
  <si>
    <t xml:space="preserve">Chocolate (Mocca) – Seco</t>
  </si>
  <si>
    <t xml:space="preserve">MP = Matéria-Prima | AC = ACABAMENTO | 453 = Chocolate (Mocca) | SC = Seco</t>
  </si>
  <si>
    <t xml:space="preserve">MP-00128</t>
  </si>
  <si>
    <t xml:space="preserve">Crockolosi Meringa</t>
  </si>
  <si>
    <t xml:space="preserve">454</t>
  </si>
  <si>
    <t xml:space="preserve">Crockolosi Meringa – Seco</t>
  </si>
  <si>
    <t xml:space="preserve">MP = Matéria-Prima | AC = ACABAMENTO | 454 = Crockolosi Meringa | SC = Seco</t>
  </si>
  <si>
    <t xml:space="preserve">MP-00129</t>
  </si>
  <si>
    <t xml:space="preserve">Mescla Morango</t>
  </si>
  <si>
    <t xml:space="preserve">455</t>
  </si>
  <si>
    <t xml:space="preserve">Mescla Morango – Seco</t>
  </si>
  <si>
    <t xml:space="preserve">MP = Matéria-Prima | AC = ACABAMENTO | 455 = Mescla Morango | SC = Seco</t>
  </si>
  <si>
    <t xml:space="preserve">MP-00130</t>
  </si>
  <si>
    <t xml:space="preserve">Base MEC Protein</t>
  </si>
  <si>
    <t xml:space="preserve">318</t>
  </si>
  <si>
    <t xml:space="preserve">Base MEC Protein – Seco</t>
  </si>
  <si>
    <t xml:space="preserve">MP = Matéria-Prima | BA = BASE | 318 = Base MEC Protein | SC = Seco</t>
  </si>
  <si>
    <t xml:space="preserve">MP-00131</t>
  </si>
  <si>
    <t xml:space="preserve">Delipaste Ovo Latto - Fabbri</t>
  </si>
  <si>
    <t xml:space="preserve">456</t>
  </si>
  <si>
    <t xml:space="preserve">Delipaste Ovo Latto - Fabbri – Seco</t>
  </si>
  <si>
    <t xml:space="preserve">MP = Matéria-Prima | AC = ACABAMENTO | 456 = Delipaste Ovo Latto - Fabbri | SC = Seco</t>
  </si>
  <si>
    <t xml:space="preserve">MP-00132</t>
  </si>
  <si>
    <t xml:space="preserve">Variegato Ovo Latto - Fabbri</t>
  </si>
  <si>
    <t xml:space="preserve">457</t>
  </si>
  <si>
    <t xml:space="preserve">Variegato Ovo Latto - Fabbri – Seco</t>
  </si>
  <si>
    <t xml:space="preserve">MP = Matéria-Prima | AC = ACABAMENTO | 457 = Variegato Ovo Latto - Fabbri | SC = Seco</t>
  </si>
  <si>
    <t xml:space="preserve">MP-00133</t>
  </si>
  <si>
    <t xml:space="preserve">Gelatina incolor</t>
  </si>
  <si>
    <t xml:space="preserve">709</t>
  </si>
  <si>
    <t xml:space="preserve">Gelatina incolor – Seco</t>
  </si>
  <si>
    <t xml:space="preserve">MP = Matéria-Prima | AD = ADITIVOS, AROMAS E AUXILIARES DE PROCESSO | 709 = Gelatina incolor | SC = Seco</t>
  </si>
  <si>
    <t xml:space="preserve">MP-00134</t>
  </si>
  <si>
    <t xml:space="preserve">Gelo</t>
  </si>
  <si>
    <t xml:space="preserve">710</t>
  </si>
  <si>
    <t xml:space="preserve">Gelo – Congelado</t>
  </si>
  <si>
    <t xml:space="preserve">MP = Matéria-Prima | AD = ADITIVOS, AROMAS E AUXILIARES DE PROCESSO | 710 = Gelo | CG = Congelado</t>
  </si>
  <si>
    <t xml:space="preserve">MP-00135</t>
  </si>
  <si>
    <t xml:space="preserve">Gema Pasteurizada - Maxxi Ovo</t>
  </si>
  <si>
    <t xml:space="preserve">502</t>
  </si>
  <si>
    <t xml:space="preserve">Gema Pasteurizada - Maxxi Ovo – Refrigerado</t>
  </si>
  <si>
    <t xml:space="preserve">MP = Matéria-Prima | OV = OVOS E OVOPRODUTOS | 502 = Gema Pasteurizada - Maxxi Ovo | RF = Refrigerado</t>
  </si>
  <si>
    <t xml:space="preserve">MP-00136</t>
  </si>
  <si>
    <t xml:space="preserve">Laranja Bahia</t>
  </si>
  <si>
    <t xml:space="preserve">237</t>
  </si>
  <si>
    <t xml:space="preserve">Laranja Bahia – Hortifruti</t>
  </si>
  <si>
    <t xml:space="preserve">MP = Matéria-Prima | FR = FRUTA | 237 = Laranja (lista de frutas) | AC = Hortifruti</t>
  </si>
  <si>
    <t xml:space="preserve">MP-00137</t>
  </si>
  <si>
    <t xml:space="preserve">Leite desnatado UHT</t>
  </si>
  <si>
    <t xml:space="preserve">Leite desnatado UHT – Seco</t>
  </si>
  <si>
    <t xml:space="preserve">MP = Matéria-Prima | LT = LATICÍNIOS | 110 = Leite desnatado UHT | SC = Seco</t>
  </si>
  <si>
    <t xml:space="preserve">MP-00138</t>
  </si>
  <si>
    <t xml:space="preserve">Leite Integral UHT</t>
  </si>
  <si>
    <t xml:space="preserve">Leite Integral UHT – Seco</t>
  </si>
  <si>
    <t xml:space="preserve">MP = Matéria-Prima | LT = LATICÍNIOS | 111 = Leite Integral UHT | SC = Seco</t>
  </si>
  <si>
    <t xml:space="preserve">MP-00139</t>
  </si>
  <si>
    <t xml:space="preserve">Limão Taiti - Suco</t>
  </si>
  <si>
    <t xml:space="preserve">Limão Taiti - Suco – Refrigerado</t>
  </si>
  <si>
    <t xml:space="preserve">MP = Matéria-Prima | FR = FRUTA | 238 = Limão (lista de frutas) | RF = Refrigerado</t>
  </si>
  <si>
    <t xml:space="preserve">MP-00140</t>
  </si>
  <si>
    <t xml:space="preserve">Mel</t>
  </si>
  <si>
    <t xml:space="preserve">319</t>
  </si>
  <si>
    <t xml:space="preserve">Mel – Seco</t>
  </si>
  <si>
    <t xml:space="preserve">MP = Matéria-Prima | BA = BASE | 319 = Mel | SC = Seco</t>
  </si>
  <si>
    <t xml:space="preserve">MP-00141</t>
  </si>
  <si>
    <t xml:space="preserve">Miçanga Açúcar</t>
  </si>
  <si>
    <t xml:space="preserve">458</t>
  </si>
  <si>
    <t xml:space="preserve">Miçanga Açúcar – Seco</t>
  </si>
  <si>
    <t xml:space="preserve">MP = Matéria-Prima | AC = ACABAMENTO | 458 = Miçanga Açúcar | SC = Seco</t>
  </si>
  <si>
    <t xml:space="preserve">MP-00142</t>
  </si>
  <si>
    <t xml:space="preserve">Ovo</t>
  </si>
  <si>
    <t xml:space="preserve">503</t>
  </si>
  <si>
    <t xml:space="preserve">Ovo – Refrigerado</t>
  </si>
  <si>
    <t xml:space="preserve">MP = Matéria-Prima | OV = OVOS E OVOPRODUTOS | 503 = Ovo | RF = Refrigerado</t>
  </si>
  <si>
    <t xml:space="preserve">MP-00143</t>
  </si>
  <si>
    <t xml:space="preserve">Ovomaltine Flocos crocante</t>
  </si>
  <si>
    <t xml:space="preserve">459</t>
  </si>
  <si>
    <t xml:space="preserve">Ovomaltine Flocos crocante – Seco</t>
  </si>
  <si>
    <t xml:space="preserve">MP = Matéria-Prima | AC = ACABAMENTO | 459 = Ovomaltine Flocos crocante | SC = Seco</t>
  </si>
  <si>
    <t xml:space="preserve">MP-00144</t>
  </si>
  <si>
    <t xml:space="preserve">Pipó</t>
  </si>
  <si>
    <t xml:space="preserve">460</t>
  </si>
  <si>
    <t xml:space="preserve">Pipó – Seco</t>
  </si>
  <si>
    <t xml:space="preserve">MP = Matéria-Prima | AC = ACABAMENTO | 460 = Pipó | SC = Seco</t>
  </si>
  <si>
    <t xml:space="preserve">MP-00145</t>
  </si>
  <si>
    <t xml:space="preserve">Queijo Reino</t>
  </si>
  <si>
    <t xml:space="preserve">Queijo Reino – Refrigerado</t>
  </si>
  <si>
    <t xml:space="preserve">MP = Matéria-Prima | LT = LATICÍNIOS | 112 = Queijo Reino | RF = Refrigerado</t>
  </si>
  <si>
    <t xml:space="preserve">MP-00146</t>
  </si>
  <si>
    <t xml:space="preserve">Soda</t>
  </si>
  <si>
    <t xml:space="preserve">711</t>
  </si>
  <si>
    <t xml:space="preserve">Soda – Seco</t>
  </si>
  <si>
    <t xml:space="preserve">MP = Matéria-Prima | AD = ADITIVOS, AROMAS E AUXILIARES DE PROCESSO | 711 = Soda | SC = Seco</t>
  </si>
  <si>
    <t xml:space="preserve">MP-00147</t>
  </si>
  <si>
    <t xml:space="preserve">Tapioca Granulada - Da Terrinha</t>
  </si>
  <si>
    <t xml:space="preserve">802</t>
  </si>
  <si>
    <t xml:space="preserve">Tapioca Granulada - Da Terrinha – Seco</t>
  </si>
  <si>
    <t xml:space="preserve">MP = Matéria-Prima | CE = CEREAIS, FARINHAS E AMIDOS | 802 = Tapioca Granulada - Da Terrinha | SC = Seco</t>
  </si>
  <si>
    <t xml:space="preserve">MP-00148</t>
  </si>
  <si>
    <t xml:space="preserve">Variegato Choco Avelã Proteico - MEC3</t>
  </si>
  <si>
    <t xml:space="preserve">461</t>
  </si>
  <si>
    <t xml:space="preserve">Variegato Choco Avelã Proteico - MEC3 – Seco</t>
  </si>
  <si>
    <t xml:space="preserve">MP = Matéria-Prima | AC = ACABAMENTO | 461 = Variegato Choco Avelã Proteico - MEC3 | SC = Seco</t>
  </si>
  <si>
    <t xml:space="preserve">MP-00149</t>
  </si>
  <si>
    <t xml:space="preserve">Variegato Choco Fondente Proteico - MEC3</t>
  </si>
  <si>
    <t xml:space="preserve">462</t>
  </si>
  <si>
    <t xml:space="preserve">Variegato Choco Fondente Proteico - MEC3 – Seco</t>
  </si>
  <si>
    <t xml:space="preserve">MP = Matéria-Prima | AC = ACABAMENTO | 462 = Variegato Choco Fondente Proteico - MEC3 | SC = Seco</t>
  </si>
  <si>
    <t xml:space="preserve">MP-00150</t>
  </si>
  <si>
    <t xml:space="preserve">Variegato Delicia de Amendoim Proteico - MEC3</t>
  </si>
  <si>
    <t xml:space="preserve">463</t>
  </si>
  <si>
    <t xml:space="preserve">Variegato Delicia de Amendoim Proteico - MEC3 – Seco</t>
  </si>
  <si>
    <t xml:space="preserve">MP = Matéria-Prima | AC = ACABAMENTO | 463 = Variegato Delicia de Amendoim Proteico - MEC3 | SC = Seco</t>
  </si>
  <si>
    <t xml:space="preserve">MP-00151</t>
  </si>
  <si>
    <t xml:space="preserve">Mescla de Framboesa com sementes (Variegato Lampone)</t>
  </si>
  <si>
    <t xml:space="preserve">464</t>
  </si>
  <si>
    <t xml:space="preserve">Mescla de Framboesa com sementes (Variegato Lampone) – Seco</t>
  </si>
  <si>
    <t xml:space="preserve">MP = Matéria-Prima | AC = ACABAMENTO | 464 = Mescla de Framboesa com sementes (Variegato Lampone) | SC = Seco</t>
  </si>
  <si>
    <t xml:space="preserve">MP-00152</t>
  </si>
  <si>
    <t xml:space="preserve">Variegato Leite Crocante Proteico - MEC3</t>
  </si>
  <si>
    <t xml:space="preserve">465</t>
  </si>
  <si>
    <t xml:space="preserve">Variegato Leite Crocante Proteico - MEC3 – Seco</t>
  </si>
  <si>
    <t xml:space="preserve">MP = Matéria-Prima | AC = ACABAMENTO | 465 = Variegato Leite Crocante Proteico - MEC3 | SC = Seco</t>
  </si>
  <si>
    <t xml:space="preserve">MP-00153</t>
  </si>
  <si>
    <t xml:space="preserve">EXCELL 1040 - Xarope Glucose</t>
  </si>
  <si>
    <t xml:space="preserve">320</t>
  </si>
  <si>
    <t xml:space="preserve">EXCELL 1040 - Xarope Glucose – Seco</t>
  </si>
  <si>
    <t xml:space="preserve">MP = Matéria-Prima | BA = BASE | 320 = EXCELL 1040 - Xarope Glucose | SC = Seco</t>
  </si>
  <si>
    <t xml:space="preserve">MP-00154</t>
  </si>
  <si>
    <t xml:space="preserve">Café Melita</t>
  </si>
  <si>
    <t xml:space="preserve">712</t>
  </si>
  <si>
    <t xml:space="preserve">Café Melita – Seco</t>
  </si>
  <si>
    <t xml:space="preserve">MP = Matéria-Prima | AD = ADITIVOS, AROMAS E AUXILIARES DE PROCESSO | 712 = Café Melita | SC = Seco</t>
  </si>
  <si>
    <t xml:space="preserve">MP-00155</t>
  </si>
  <si>
    <t xml:space="preserve">Chantilly - Norcau</t>
  </si>
  <si>
    <t xml:space="preserve">Chantilly - Norcau – Refrigerado</t>
  </si>
  <si>
    <t xml:space="preserve">MP = Matéria-Prima | LT = LATICÍNIOS | 113 = Chantilly - Norcau | RF = Refrigerado</t>
  </si>
  <si>
    <t xml:space="preserve">MP-00156</t>
  </si>
  <si>
    <t xml:space="preserve">Açúcar de Confeiteiro - União</t>
  </si>
  <si>
    <t xml:space="preserve">321</t>
  </si>
  <si>
    <t xml:space="preserve">Açúcar de Confeiteiro - União – Seco</t>
  </si>
  <si>
    <t xml:space="preserve">MP = Matéria-Prima | BA = BASE | 321 = Açúcar de Confeiteiro - União | SC = Seco</t>
  </si>
  <si>
    <t xml:space="preserve">MP-00157</t>
  </si>
  <si>
    <t xml:space="preserve">Água com gás</t>
  </si>
  <si>
    <t xml:space="preserve">713</t>
  </si>
  <si>
    <t xml:space="preserve">Água com gás – Seco</t>
  </si>
  <si>
    <t xml:space="preserve">MP = Matéria-Prima | AD = ADITIVOS, AROMAS E AUXILIARES DE PROCESSO | 713 = Água com gás | SC = Seco</t>
  </si>
  <si>
    <t xml:space="preserve">MP-00158</t>
  </si>
  <si>
    <t xml:space="preserve">Amêndoas Laminadas</t>
  </si>
  <si>
    <t xml:space="preserve">466</t>
  </si>
  <si>
    <t xml:space="preserve">Amêndoas Laminadas – Seco</t>
  </si>
  <si>
    <t xml:space="preserve">MP = Matéria-Prima | AC = ACABAMENTO | 466 = Amêndoas Laminadas | SC = Seco</t>
  </si>
  <si>
    <t xml:space="preserve">MP-00159</t>
  </si>
  <si>
    <t xml:space="preserve">Amido de Milho - Maisena</t>
  </si>
  <si>
    <t xml:space="preserve">803</t>
  </si>
  <si>
    <t xml:space="preserve">Amido de Milho - Maisena – Seco</t>
  </si>
  <si>
    <t xml:space="preserve">MP = Matéria-Prima | CE = CEREAIS, FARINHAS E AMIDOS | 803 = Amido de Milho - Maisena | SC = Seco</t>
  </si>
  <si>
    <t xml:space="preserve">MP-00160</t>
  </si>
  <si>
    <t xml:space="preserve">Biscoito Maisena</t>
  </si>
  <si>
    <t xml:space="preserve">467</t>
  </si>
  <si>
    <t xml:space="preserve">Biscoito Maisena – Seco</t>
  </si>
  <si>
    <t xml:space="preserve">MP = Matéria-Prima | AC = ACABAMENTO | 467 = Biscoito Maisena | SC = Seco</t>
  </si>
  <si>
    <t xml:space="preserve">MP-00161</t>
  </si>
  <si>
    <t xml:space="preserve">Coco Seco Freco</t>
  </si>
  <si>
    <t xml:space="preserve">283</t>
  </si>
  <si>
    <t xml:space="preserve">Coco Seco Freco – Hortifruti</t>
  </si>
  <si>
    <t xml:space="preserve">MP = Matéria-Prima | FR = FRUTA | 283 = Coco Seco Freco | AC = Hortifruti</t>
  </si>
  <si>
    <t xml:space="preserve">Variante: mesma fruta/mesmo armazenamento já codificado; código novo (276+).</t>
  </si>
  <si>
    <t xml:space="preserve">MP-00162</t>
  </si>
  <si>
    <t xml:space="preserve">Composto Lacteo</t>
  </si>
  <si>
    <t xml:space="preserve">Composto Lacteo – Seco</t>
  </si>
  <si>
    <t xml:space="preserve">MP = Matéria-Prima | LT = LATICÍNIOS | 114 = Composto Lacteo | SC = Seco</t>
  </si>
  <si>
    <t xml:space="preserve">MP-00163</t>
  </si>
  <si>
    <t xml:space="preserve">Creme de leite UHT 17%</t>
  </si>
  <si>
    <t xml:space="preserve">Creme de leite UHT 17% – Seco</t>
  </si>
  <si>
    <t xml:space="preserve">MP = Matéria-Prima | LT = LATICÍNIOS | 115 = Creme de leite UHT 17% | SC = Seco</t>
  </si>
  <si>
    <t xml:space="preserve">MP-00164</t>
  </si>
  <si>
    <t xml:space="preserve">Creme de leite UHT 25%</t>
  </si>
  <si>
    <t xml:space="preserve">Creme de leite UHT 25% – Seco</t>
  </si>
  <si>
    <t xml:space="preserve">MP = Matéria-Prima | LT = LATICÍNIOS | 116 = Creme de leite UHT 25% | SC = Seco</t>
  </si>
  <si>
    <t xml:space="preserve">MP-00165</t>
  </si>
  <si>
    <t xml:space="preserve">Granela Pistache</t>
  </si>
  <si>
    <t xml:space="preserve">468</t>
  </si>
  <si>
    <t xml:space="preserve">Granela Pistache – Seco</t>
  </si>
  <si>
    <t xml:space="preserve">MP = Matéria-Prima | AC = ACABAMENTO | 468 = Granela Pistache | SC = Seco</t>
  </si>
  <si>
    <t xml:space="preserve">MP-00166</t>
  </si>
  <si>
    <t xml:space="preserve">Variegato Quella Pistache</t>
  </si>
  <si>
    <t xml:space="preserve">469</t>
  </si>
  <si>
    <t xml:space="preserve">Variegato Quella Pistache – Seco</t>
  </si>
  <si>
    <t xml:space="preserve">MP = Matéria-Prima | AC = ACABAMENTO | 469 = Variegato Quella Pistache | SC = Seco</t>
  </si>
  <si>
    <t xml:space="preserve">MP-00167</t>
  </si>
  <si>
    <t xml:space="preserve">Stracciatella Pistacchio</t>
  </si>
  <si>
    <t xml:space="preserve">470</t>
  </si>
  <si>
    <t xml:space="preserve">Stracciatella Pistacchio – Seco</t>
  </si>
  <si>
    <t xml:space="preserve">MP = Matéria-Prima | AC = ACABAMENTO | 470 = Stracciatella Pistacchio | SC = Seco</t>
  </si>
  <si>
    <t xml:space="preserve">MP-00168</t>
  </si>
  <si>
    <t xml:space="preserve">Manga palmer polpa</t>
  </si>
  <si>
    <t xml:space="preserve">Manga palmer polpa – Congelado</t>
  </si>
  <si>
    <t xml:space="preserve">MP = Matéria-Prima | FR = FRUTA | 243 = Manga (lista de frutas) | CG = Congelado</t>
  </si>
  <si>
    <t xml:space="preserve">MP-00169</t>
  </si>
  <si>
    <t xml:space="preserve">Água de coco</t>
  </si>
  <si>
    <t xml:space="preserve">284</t>
  </si>
  <si>
    <t xml:space="preserve">Água de coco – Refrigerado</t>
  </si>
  <si>
    <t xml:space="preserve">MP = Matéria-Prima | FR = FRUTA | 284 = Água de coco | RF = Refrigerado</t>
  </si>
  <si>
    <t xml:space="preserve">MP-00170</t>
  </si>
  <si>
    <t xml:space="preserve">Café Grão Gourmet</t>
  </si>
  <si>
    <t xml:space="preserve">714</t>
  </si>
  <si>
    <t xml:space="preserve">Café Grão Gourmet – Seco</t>
  </si>
  <si>
    <t xml:space="preserve">MP = Matéria-Prima | AD = ADITIVOS, AROMAS E AUXILIARES DE PROCESSO | 714 = Café Grão Gourmet | SC = Seco</t>
  </si>
  <si>
    <t xml:space="preserve">MP-00172</t>
  </si>
  <si>
    <t xml:space="preserve">Coco Seco - fresco em escama</t>
  </si>
  <si>
    <t xml:space="preserve">285</t>
  </si>
  <si>
    <t xml:space="preserve">Coco Seco - fresco em escama – Hortifruti</t>
  </si>
  <si>
    <t xml:space="preserve">MP = Matéria-Prima | FR = FRUTA | 285 = Coco Seco - fresco em escama | AC = Hortifruti</t>
  </si>
  <si>
    <t xml:space="preserve">MP-00173</t>
  </si>
  <si>
    <t xml:space="preserve">Stracciatela Caramelo Salgado</t>
  </si>
  <si>
    <t xml:space="preserve">471</t>
  </si>
  <si>
    <t xml:space="preserve">Stracciatela Caramelo Salgado – Seco</t>
  </si>
  <si>
    <t xml:space="preserve">MP = Matéria-Prima | AC = ACABAMENTO | 471 = Stracciatela Caramelo Salgado | SC = Seco</t>
  </si>
  <si>
    <t xml:space="preserve">MP-00174</t>
  </si>
  <si>
    <t xml:space="preserve">Manga Palper fatiada</t>
  </si>
  <si>
    <t xml:space="preserve">Manga Palper fatiada – Refrigerado</t>
  </si>
  <si>
    <t xml:space="preserve">MP = Matéria-Prima | FR = FRUTA | 243 = Manga (lista de frutas) | RF = Refrigerado</t>
  </si>
  <si>
    <t xml:space="preserve">MP-00175</t>
  </si>
  <si>
    <t xml:space="preserve">Uva Vitória fatiada</t>
  </si>
  <si>
    <t xml:space="preserve">Uva Vitória fatiada – Refrigerado</t>
  </si>
  <si>
    <t xml:space="preserve">MP = Matéria-Prima | FR = FRUTA | 268 = Uva (lista de frutas) | RF = Refrigerado</t>
  </si>
  <si>
    <t xml:space="preserve">MP-00176</t>
  </si>
  <si>
    <t xml:space="preserve">Hortelã fresco</t>
  </si>
  <si>
    <t xml:space="preserve">715</t>
  </si>
  <si>
    <t xml:space="preserve">Hortelã fresco – Hortifruti</t>
  </si>
  <si>
    <t xml:space="preserve">MP = Matéria-Prima | AD = ADITIVOS, AROMAS E AUXILIARES DE PROCESSO | 715 = Hortelã fresco | AC = Hortifruti</t>
  </si>
  <si>
    <t xml:space="preserve">MP-00177</t>
  </si>
  <si>
    <t xml:space="preserve">Goiaba fresca</t>
  </si>
  <si>
    <t xml:space="preserve">223</t>
  </si>
  <si>
    <t xml:space="preserve">Goiaba fresca – Hortifruti</t>
  </si>
  <si>
    <t xml:space="preserve">MP = Matéria-Prima | FR = FRUTA | 223 = Goiaba (lista de frutas) | AC = Hortifruti</t>
  </si>
  <si>
    <t xml:space="preserve">MP-00178</t>
  </si>
  <si>
    <t xml:space="preserve">Acido citrico Anidro</t>
  </si>
  <si>
    <t xml:space="preserve">716</t>
  </si>
  <si>
    <t xml:space="preserve">Acido citrico Anidro – Seco</t>
  </si>
  <si>
    <t xml:space="preserve">MP = Matéria-Prima | AD = ADITIVOS, AROMAS E AUXILIARES DE PROCESSO | 716 = Acido citrico Anidro | SC = Seco</t>
  </si>
  <si>
    <t xml:space="preserve">MP-00179</t>
  </si>
  <si>
    <t xml:space="preserve">Kiwi fatiado</t>
  </si>
  <si>
    <t xml:space="preserve">Kiwi fatiado – Refrigerado</t>
  </si>
  <si>
    <t xml:space="preserve">MP = Matéria-Prima | FR = FRUTA | 235 = Kiwi (lista de frutas) | RF = Refrigerado</t>
  </si>
  <si>
    <t xml:space="preserve">MP-00180</t>
  </si>
  <si>
    <t xml:space="preserve">Açúcar Líquido Refinado Invertido</t>
  </si>
  <si>
    <t xml:space="preserve">322</t>
  </si>
  <si>
    <t xml:space="preserve">Açúcar Líquido Refinado Invertido – Seco</t>
  </si>
  <si>
    <t xml:space="preserve">MP = Matéria-Prima | BA = BASE | 322 = Açúcar Líquido Refinado Invertido | SC = Seco</t>
  </si>
  <si>
    <t xml:space="preserve">MP-00181</t>
  </si>
  <si>
    <t xml:space="preserve">Pasta de amendoim</t>
  </si>
  <si>
    <t xml:space="preserve">472</t>
  </si>
  <si>
    <t xml:space="preserve">Pasta de amendoim – Seco</t>
  </si>
  <si>
    <t xml:space="preserve">MP = Matéria-Prima | AC = ACABAMENTO | 472 = Pasta de amendoim | SC = Seco</t>
  </si>
  <si>
    <t xml:space="preserve">EM</t>
  </si>
  <si>
    <t xml:space="preserve">Insumos</t>
  </si>
  <si>
    <t xml:space="preserve">IN-00001</t>
  </si>
  <si>
    <t xml:space="preserve">Embalagem copo 360g belga - Yeez</t>
  </si>
  <si>
    <t xml:space="preserve">Pc</t>
  </si>
  <si>
    <t xml:space="preserve">PR</t>
  </si>
  <si>
    <t xml:space="preserve">EM = Embalagem | PR = PRIMÁRIA | 200 = Embalagem copo 360g belga - Yeez (POTE / COPO / FRASCO)</t>
  </si>
  <si>
    <t xml:space="preserve">B3 (código de item novo dentro da família 200 POTE / COPO / FRASCO)</t>
  </si>
  <si>
    <t xml:space="preserve">IN-00002</t>
  </si>
  <si>
    <t xml:space="preserve">Embalagem copo 360g doce de leite - Yeez</t>
  </si>
  <si>
    <t xml:space="preserve">EM = Embalagem | PR = PRIMÁRIA | 201 = Embalagem copo 360g doce de leite - Yeez (POTE / COPO / FRASCO)</t>
  </si>
  <si>
    <t xml:space="preserve">IN-00003</t>
  </si>
  <si>
    <t xml:space="preserve">Embalagem copo 360g flocos - Yeez</t>
  </si>
  <si>
    <t xml:space="preserve">EM = Embalagem | PR = PRIMÁRIA | 202 = Embalagem copo 360g flocos - Yeez (POTE / COPO / FRASCO)</t>
  </si>
  <si>
    <t xml:space="preserve">IN-00004</t>
  </si>
  <si>
    <t xml:space="preserve">Embalagem copo 360g morango - Yeez</t>
  </si>
  <si>
    <t xml:space="preserve">EM = Embalagem | PR = PRIMÁRIA | 203 = Embalagem copo 360g morango - Yeez (POTE / COPO / FRASCO)</t>
  </si>
  <si>
    <t xml:space="preserve">IN-00005</t>
  </si>
  <si>
    <t xml:space="preserve">Tampa 360g belga - Yeez</t>
  </si>
  <si>
    <t xml:space="preserve">EM = Embalagem | PR = PRIMÁRIA | 501 = Tampa 360g belga - Yeez (TAMPA / SELO)</t>
  </si>
  <si>
    <t xml:space="preserve">B3 (código de item novo dentro da família 500 TAMPA / SELO); B2/B3 família nova</t>
  </si>
  <si>
    <t xml:space="preserve">Família de descrição não prevista no modelo (proposta).</t>
  </si>
  <si>
    <t xml:space="preserve">IN-00006</t>
  </si>
  <si>
    <t xml:space="preserve">Tampa 360g doce de leite - Yeez</t>
  </si>
  <si>
    <t xml:space="preserve">EM = Embalagem | PR = PRIMÁRIA | 502 = Tampa 360g doce de leite - Yeez (TAMPA / SELO)</t>
  </si>
  <si>
    <t xml:space="preserve">IN-00007</t>
  </si>
  <si>
    <t xml:space="preserve">Tampa 360g flocos - Yeez</t>
  </si>
  <si>
    <t xml:space="preserve">EM = Embalagem | PR = PRIMÁRIA | 503 = Tampa 360g flocos - Yeez (TAMPA / SELO)</t>
  </si>
  <si>
    <t xml:space="preserve">IN-00008</t>
  </si>
  <si>
    <t xml:space="preserve">Tampa 360g morango - Yeez</t>
  </si>
  <si>
    <t xml:space="preserve">504</t>
  </si>
  <si>
    <t xml:space="preserve">EM = Embalagem | PR = PRIMÁRIA | 504 = Tampa 360g morango - Yeez (TAMPA / SELO)</t>
  </si>
  <si>
    <t xml:space="preserve">IN-00010</t>
  </si>
  <si>
    <t xml:space="preserve">Embalagem para petit gâteau Galvanotek G16</t>
  </si>
  <si>
    <t xml:space="preserve">EM = Embalagem | PR = PRIMÁRIA | 700 = Embalagem para petit gâteau Galvanotek G16 (FORMA / EMBALAGEM DE CONFEITARIA)</t>
  </si>
  <si>
    <t xml:space="preserve">B3 (código de item novo dentro da família 700 FORMA / EMBALAGEM DE CONFEITARIA); B2/B3 família nova</t>
  </si>
  <si>
    <t xml:space="preserve">IN-00012</t>
  </si>
  <si>
    <t xml:space="preserve">Caixas de papelão picolé</t>
  </si>
  <si>
    <t xml:space="preserve">SE</t>
  </si>
  <si>
    <t xml:space="preserve">EM = Embalagem | SE = SECUNDÁRIA | 100 = Caixas de papelão picolé (CAIXA)</t>
  </si>
  <si>
    <t xml:space="preserve">B3 (código de item novo dentro da família 100 CAIXA)</t>
  </si>
  <si>
    <t xml:space="preserve">IN-00013</t>
  </si>
  <si>
    <t xml:space="preserve">Caixas papelão copos</t>
  </si>
  <si>
    <t xml:space="preserve">EM = Embalagem | SE = SECUNDÁRIA | 101 = Caixas papelão copos (CAIXA)</t>
  </si>
  <si>
    <t xml:space="preserve">IN-00017</t>
  </si>
  <si>
    <t xml:space="preserve">Embalagem copo 360g belga - Luna</t>
  </si>
  <si>
    <t xml:space="preserve">EM = Embalagem | PR = PRIMÁRIA | 204 = Embalagem copo 360g belga - Luna (POTE / COPO / FRASCO)</t>
  </si>
  <si>
    <t xml:space="preserve">IN-00018</t>
  </si>
  <si>
    <t xml:space="preserve">Embalagem copo 360g coco - Luna</t>
  </si>
  <si>
    <t xml:space="preserve">EM = Embalagem | PR = PRIMÁRIA | 205 = Embalagem copo 360g coco - Luna (POTE / COPO / FRASCO)</t>
  </si>
  <si>
    <t xml:space="preserve">IN-00019</t>
  </si>
  <si>
    <t xml:space="preserve">Embalagem copo 360g doce de leite - Luna</t>
  </si>
  <si>
    <t xml:space="preserve">EM = Embalagem | PR = PRIMÁRIA | 206 = Embalagem copo 360g doce de leite - Luna (POTE / COPO / FRASCO)</t>
  </si>
  <si>
    <t xml:space="preserve">IN-00020</t>
  </si>
  <si>
    <t xml:space="preserve">Embalagem copo 360g morango - Luna</t>
  </si>
  <si>
    <t xml:space="preserve">EM = Embalagem | PR = PRIMÁRIA | 207 = Embalagem copo 360g morango - Luna (POTE / COPO / FRASCO)</t>
  </si>
  <si>
    <t xml:space="preserve">IN-00021</t>
  </si>
  <si>
    <t xml:space="preserve">Embalagem copo 360g pistache - Luna</t>
  </si>
  <si>
    <t xml:space="preserve">208</t>
  </si>
  <si>
    <t xml:space="preserve">EM = Embalagem | PR = PRIMÁRIA | 208 = Embalagem copo 360g pistache - Luna (POTE / COPO / FRASCO)</t>
  </si>
  <si>
    <t xml:space="preserve">IN-00025</t>
  </si>
  <si>
    <t xml:space="preserve">Embalagem para variegato 250ml</t>
  </si>
  <si>
    <t xml:space="preserve">209</t>
  </si>
  <si>
    <t xml:space="preserve">EM = Embalagem | PR = PRIMÁRIA | 209 = Embalagem para variegato 250ml (POTE / COPO / FRASCO)</t>
  </si>
  <si>
    <t xml:space="preserve">IN-00026</t>
  </si>
  <si>
    <t xml:space="preserve">Embalagem para variegato 500ml</t>
  </si>
  <si>
    <t xml:space="preserve">210</t>
  </si>
  <si>
    <t xml:space="preserve">EM = Embalagem | PR = PRIMÁRIA | 210 = Embalagem para variegato 500ml (POTE / COPO / FRASCO)</t>
  </si>
  <si>
    <t xml:space="preserve">IN-00027</t>
  </si>
  <si>
    <t xml:space="preserve">Embalagem para variegato 750ml</t>
  </si>
  <si>
    <t xml:space="preserve">211</t>
  </si>
  <si>
    <t xml:space="preserve">EM = Embalagem | PR = PRIMÁRIA | 211 = Embalagem para variegato 750ml (POTE / COPO / FRASCO)</t>
  </si>
  <si>
    <t xml:space="preserve">IN-00030</t>
  </si>
  <si>
    <t xml:space="preserve">Filme plástico PVC</t>
  </si>
  <si>
    <t xml:space="preserve">rolo</t>
  </si>
  <si>
    <t xml:space="preserve">EM = Embalagem | SE = SECUNDÁRIA | 300 = Filme plástico PVC (FITA / FILME)</t>
  </si>
  <si>
    <t xml:space="preserve">B3 (código de item novo dentro da família 300 FITA / FILME); B2/B3 família nova</t>
  </si>
  <si>
    <t xml:space="preserve">Família de descrição não prevista no modelo (proposta). Sem complemento equivalente no modelo (FS = filme stretch / FC = fita crepe); confirmar.</t>
  </si>
  <si>
    <t xml:space="preserve">IN-00031</t>
  </si>
  <si>
    <t xml:space="preserve">Fita adesiva transparente</t>
  </si>
  <si>
    <t xml:space="preserve">EM = Embalagem | SE = SECUNDÁRIA | 301 = Fita adesiva transparente (FITA / FILME)</t>
  </si>
  <si>
    <t xml:space="preserve">IN-00032</t>
  </si>
  <si>
    <t xml:space="preserve">Fita crepe adesiva caixas</t>
  </si>
  <si>
    <t xml:space="preserve">FC</t>
  </si>
  <si>
    <t xml:space="preserve">EM = Embalagem | SE = SECUNDÁRIA | 302 = Fita crepe adesiva caixas (FITA / FILME) | FC = FITA CREPE</t>
  </si>
  <si>
    <t xml:space="preserve">IN-00033</t>
  </si>
  <si>
    <t xml:space="preserve">Formas descartáveis para pudim 120ml</t>
  </si>
  <si>
    <t xml:space="preserve">EM = Embalagem | PR = PRIMÁRIA | 701 = Formas descartáveis para pudim 120ml (FORMA / EMBALAGEM DE CONFEITARIA)</t>
  </si>
  <si>
    <t xml:space="preserve">IN-00049</t>
  </si>
  <si>
    <t xml:space="preserve">Saco plástico 25x30</t>
  </si>
  <si>
    <t xml:space="preserve">EM = Embalagem | PR = PRIMÁRIA | 600 = Saco plástico 25x30 (SACO / EMBALAGEM FLEXÍVEL)</t>
  </si>
  <si>
    <t xml:space="preserve">B3 (código de item novo dentro da família 600 SACO / EMBALAGEM FLEXÍVEL); B2/B3 família nova</t>
  </si>
  <si>
    <t xml:space="preserve">IN-00050</t>
  </si>
  <si>
    <t xml:space="preserve">Saco plástico 35x50</t>
  </si>
  <si>
    <t xml:space="preserve">EM = Embalagem | PR = PRIMÁRIA | 601 = Saco plástico 35x50 (SACO / EMBALAGEM FLEXÍVEL)</t>
  </si>
  <si>
    <t xml:space="preserve">IN-00053</t>
  </si>
  <si>
    <t xml:space="preserve">Saquinhos PVC 13x18 (sobremesa)</t>
  </si>
  <si>
    <t xml:space="preserve">602</t>
  </si>
  <si>
    <t xml:space="preserve">EM = Embalagem | PR = PRIMÁRIA | 602 = Saquinhos PVC 13x18 (sobremesa) (SACO / EMBALAGEM FLEXÍVEL)</t>
  </si>
  <si>
    <t xml:space="preserve">IN-00054</t>
  </si>
  <si>
    <t xml:space="preserve">Tampas descartáveis cubas P</t>
  </si>
  <si>
    <t xml:space="preserve">505</t>
  </si>
  <si>
    <t xml:space="preserve">EM = Embalagem | PR = PRIMÁRIA | 505 = Tampas descartáveis cubas P (TAMPA / SELO)</t>
  </si>
  <si>
    <t xml:space="preserve">IN-00059</t>
  </si>
  <si>
    <t xml:space="preserve">Tampa 360g belga - Luna</t>
  </si>
  <si>
    <t xml:space="preserve">506</t>
  </si>
  <si>
    <t xml:space="preserve">EM = Embalagem | PR = PRIMÁRIA | 506 = Tampa 360g belga - Luna (TAMPA / SELO)</t>
  </si>
  <si>
    <t xml:space="preserve">IN-00060</t>
  </si>
  <si>
    <t xml:space="preserve">Tampa 360g coco - Luna</t>
  </si>
  <si>
    <t xml:space="preserve">507</t>
  </si>
  <si>
    <t xml:space="preserve">EM = Embalagem | PR = PRIMÁRIA | 507 = Tampa 360g coco - Luna (TAMPA / SELO)</t>
  </si>
  <si>
    <t xml:space="preserve">IN-00061</t>
  </si>
  <si>
    <t xml:space="preserve">Tampa 360g doce de leite - Luna</t>
  </si>
  <si>
    <t xml:space="preserve">508</t>
  </si>
  <si>
    <t xml:space="preserve">EM = Embalagem | PR = PRIMÁRIA | 508 = Tampa 360g doce de leite - Luna (TAMPA / SELO)</t>
  </si>
  <si>
    <t xml:space="preserve">IN-00062</t>
  </si>
  <si>
    <t xml:space="preserve">Tampa 360g morango - Luna</t>
  </si>
  <si>
    <t xml:space="preserve">509</t>
  </si>
  <si>
    <t xml:space="preserve">EM = Embalagem | PR = PRIMÁRIA | 509 = Tampa 360g morango - Luna (TAMPA / SELO)</t>
  </si>
  <si>
    <t xml:space="preserve">IN-00063</t>
  </si>
  <si>
    <t xml:space="preserve">Tampa 360g pistache - Luna</t>
  </si>
  <si>
    <t xml:space="preserve">510</t>
  </si>
  <si>
    <t xml:space="preserve">EM = Embalagem | PR = PRIMÁRIA | 510 = Tampa 360g pistache - Luna (TAMPA / SELO)</t>
  </si>
  <si>
    <t xml:space="preserve">IN-00064</t>
  </si>
  <si>
    <t xml:space="preserve">Etiquetas térmicas tamanhos diversos</t>
  </si>
  <si>
    <t xml:space="preserve">EM = Embalagem | SE = SECUNDÁRIA | 200 = Etiquetas térmicas tamanhos diversos (ETIQUETA)</t>
  </si>
  <si>
    <t xml:space="preserve">B3 (código de item novo dentro da família 200 ETIQUETA)</t>
  </si>
  <si>
    <t xml:space="preserve">IN-00067</t>
  </si>
  <si>
    <t xml:space="preserve">Embalagem para variegato 1000ML</t>
  </si>
  <si>
    <t xml:space="preserve">212</t>
  </si>
  <si>
    <t xml:space="preserve">EM = Embalagem | PR = PRIMÁRIA | 212 = Embalagem para variegato 1000ML (POTE / COPO / FRASCO)</t>
  </si>
  <si>
    <t xml:space="preserve">IN-00068</t>
  </si>
  <si>
    <t xml:space="preserve">Saco plástico 13X20</t>
  </si>
  <si>
    <t xml:space="preserve">603</t>
  </si>
  <si>
    <t xml:space="preserve">EM = Embalagem | PR = PRIMÁRIA | 603 = Saco plástico 13X20 (SACO / EMBALAGEM FLEXÍVEL)</t>
  </si>
  <si>
    <t xml:space="preserve">Matéria-Prima (reclassificado)</t>
  </si>
  <si>
    <t xml:space="preserve">MP-00013</t>
  </si>
  <si>
    <t xml:space="preserve">Caixa gelato 10L</t>
  </si>
  <si>
    <t xml:space="preserve">EM = Embalagem | PR = PRIMÁRIA | 100 = Caixa gelato 10L (CAIXA)</t>
  </si>
  <si>
    <t xml:space="preserve">Item cadastrado como matéria-prima; pelo modelo de embalagem pertence à família EM.</t>
  </si>
  <si>
    <t xml:space="preserve">MP-00014</t>
  </si>
  <si>
    <t xml:space="preserve">Caixa gelato 2L</t>
  </si>
  <si>
    <t xml:space="preserve">EM = Embalagem | PR = PRIMÁRIA | 101 = Caixa gelato 2L (CAIXA)</t>
  </si>
  <si>
    <t xml:space="preserve">MP-00015</t>
  </si>
  <si>
    <t xml:space="preserve">Caixa gelato 5L</t>
  </si>
  <si>
    <t xml:space="preserve">EM = Embalagem | PR = PRIMÁRIA | 102 = Caixa gelato 5L (CAIXA)</t>
  </si>
  <si>
    <t xml:space="preserve">MP-00074</t>
  </si>
  <si>
    <t xml:space="preserve">Palito hélice - Yeez</t>
  </si>
  <si>
    <t xml:space="preserve">EM = Embalagem | PR = PRIMÁRIA | 400 = Palito hélice - Yeez (PALITO)</t>
  </si>
  <si>
    <t xml:space="preserve">B3 (código de item novo dentro da família 400 PALITO)</t>
  </si>
  <si>
    <t xml:space="preserve">MP-00075</t>
  </si>
  <si>
    <t xml:space="preserve">Palito KV - Yeez</t>
  </si>
  <si>
    <t xml:space="preserve">EM = Embalagem | PR = PRIMÁRIA | 401 = Palito KV - Yeez (PALITO)</t>
  </si>
  <si>
    <t xml:space="preserve">MP-00081</t>
  </si>
  <si>
    <t xml:space="preserve">Selo metálico para copo gelato</t>
  </si>
  <si>
    <t xml:space="preserve">EM = Embalagem | PR = PRIMÁRIA | 500 = Selo metálico para copo gelato (TAMPA / SELO)</t>
  </si>
  <si>
    <t xml:space="preserve">Item cadastrado como matéria-prima; pelo modelo de embalagem pertence à família EM. Família de descrição não prevista no modelo (proposta).</t>
  </si>
  <si>
    <t xml:space="preserve">MP-00171</t>
  </si>
  <si>
    <t xml:space="preserve">Palito KV - Luna</t>
  </si>
  <si>
    <t xml:space="preserve">EM = Embalagem | PR = PRIMÁRIA | 402 = Palito KV - Luna (PALITO)</t>
  </si>
  <si>
    <t xml:space="preserve">MP-00182</t>
  </si>
  <si>
    <t xml:space="preserve">Palito Hélice - Luna</t>
  </si>
  <si>
    <t xml:space="preserve">EM = Embalagem | PR = PRIMÁRIA | 403 = Palito Hélice - Luna (PALITO)</t>
  </si>
  <si>
    <t xml:space="preserve">IN-00009</t>
  </si>
  <si>
    <t xml:space="preserve">Álcool 70°</t>
  </si>
  <si>
    <t xml:space="preserve">Sem família no modelo de SKU (não é produto final, matéria-prima nem embalagem). Definir modelo para uso/consumo.</t>
  </si>
  <si>
    <t xml:space="preserve">IN-00014</t>
  </si>
  <si>
    <t xml:space="preserve">Caneta</t>
  </si>
  <si>
    <t xml:space="preserve">IN-00015</t>
  </si>
  <si>
    <t xml:space="preserve">Caneta permanente</t>
  </si>
  <si>
    <t xml:space="preserve">IN-00016</t>
  </si>
  <si>
    <t xml:space="preserve">Clips</t>
  </si>
  <si>
    <t xml:space="preserve">caixa</t>
  </si>
  <si>
    <t xml:space="preserve">IN-00022</t>
  </si>
  <si>
    <t xml:space="preserve">Desmoldante</t>
  </si>
  <si>
    <t xml:space="preserve">IN-00023</t>
  </si>
  <si>
    <t xml:space="preserve">Detergente alcalino (contato Mariza)</t>
  </si>
  <si>
    <t xml:space="preserve">IN-00024</t>
  </si>
  <si>
    <t xml:space="preserve">Detergente neutro</t>
  </si>
  <si>
    <t xml:space="preserve">IN-00028</t>
  </si>
  <si>
    <t xml:space="preserve">Escovas para lavar formas de picolé</t>
  </si>
  <si>
    <t xml:space="preserve">IN-00029</t>
  </si>
  <si>
    <t xml:space="preserve">Esponja para louças</t>
  </si>
  <si>
    <t xml:space="preserve">IN-00034</t>
  </si>
  <si>
    <t xml:space="preserve">Grampo</t>
  </si>
  <si>
    <t xml:space="preserve">IN-00035</t>
  </si>
  <si>
    <t xml:space="preserve">Luvas de silicone</t>
  </si>
  <si>
    <t xml:space="preserve">IN-00036</t>
  </si>
  <si>
    <t xml:space="preserve">Marcador de quadro branco</t>
  </si>
  <si>
    <t xml:space="preserve">IN-00037</t>
  </si>
  <si>
    <t xml:space="preserve">Margarina para café da manhã</t>
  </si>
  <si>
    <t xml:space="preserve">IN-00038</t>
  </si>
  <si>
    <t xml:space="preserve">Papel higiênico</t>
  </si>
  <si>
    <t xml:space="preserve">IN-00039</t>
  </si>
  <si>
    <t xml:space="preserve">Papel manteiga rolo</t>
  </si>
  <si>
    <t xml:space="preserve">IN-00040</t>
  </si>
  <si>
    <t xml:space="preserve">Papel sulfite A4</t>
  </si>
  <si>
    <t xml:space="preserve">pacote</t>
  </si>
  <si>
    <t xml:space="preserve">IN-00041</t>
  </si>
  <si>
    <t xml:space="preserve">Papel toalha 100% celulose</t>
  </si>
  <si>
    <t xml:space="preserve">IN-00042</t>
  </si>
  <si>
    <t xml:space="preserve">Perflex</t>
  </si>
  <si>
    <t xml:space="preserve">IN-00043</t>
  </si>
  <si>
    <t xml:space="preserve">Produto desinfecção pasteurizador e tina caustic clean</t>
  </si>
  <si>
    <t xml:space="preserve">IN-00044</t>
  </si>
  <si>
    <t xml:space="preserve">Produto limpeza pasteurizador e tina Cloro Clean</t>
  </si>
  <si>
    <t xml:space="preserve">IN-00045</t>
  </si>
  <si>
    <t xml:space="preserve">Pró-pé</t>
  </si>
  <si>
    <t xml:space="preserve">IN-00046</t>
  </si>
  <si>
    <t xml:space="preserve">Ribon</t>
  </si>
  <si>
    <t xml:space="preserve">Consumível de impressão (ribbon) – não é embalagem. Sem família no modelo de SKU (não é produto final, matéria-prima nem embalagem). Definir modelo para uso/consumo.</t>
  </si>
  <si>
    <t xml:space="preserve">IN-00047</t>
  </si>
  <si>
    <t xml:space="preserve">Sabonete líquido antiséptico</t>
  </si>
  <si>
    <t xml:space="preserve">IN-00048</t>
  </si>
  <si>
    <t xml:space="preserve">Saco para confeitar G</t>
  </si>
  <si>
    <t xml:space="preserve">Utensílio (saco de confeitar) – não é embalagem do produto. Sem família no modelo de SKU (não é produto final, matéria-prima nem embalagem). Definir modelo para uso/consumo.</t>
  </si>
  <si>
    <t xml:space="preserve">IN-00051</t>
  </si>
  <si>
    <t xml:space="preserve">Sacos de lixo 40L</t>
  </si>
  <si>
    <t xml:space="preserve">IN-00052</t>
  </si>
  <si>
    <t xml:space="preserve">Sacos de lixo reforçado 100l</t>
  </si>
  <si>
    <t xml:space="preserve">IN-00055</t>
  </si>
  <si>
    <t xml:space="preserve">Tinta datadora copos</t>
  </si>
  <si>
    <t xml:space="preserve">Consumível de impressão (tinta datadora). Sem família no modelo de SKU (não é produto final, matéria-prima nem embalagem). Definir modelo para uso/consumo.</t>
  </si>
  <si>
    <t xml:space="preserve">IN-00056</t>
  </si>
  <si>
    <t xml:space="preserve">Tinta impressora</t>
  </si>
  <si>
    <t xml:space="preserve">Consumível de escritório. Sem família no modelo de SKU (não é produto final, matéria-prima nem embalagem). Definir modelo para uso/consumo.</t>
  </si>
  <si>
    <t xml:space="preserve">IN-00057</t>
  </si>
  <si>
    <t xml:space="preserve">Tinta para impressora embalagem picolé</t>
  </si>
  <si>
    <t xml:space="preserve">Consumível de impressão (tinta p/ embalagem de picolé). Sem família no modelo de SKU (não é produto final, matéria-prima nem embalagem). Definir modelo para uso/consumo.</t>
  </si>
  <si>
    <t xml:space="preserve">IN-00058</t>
  </si>
  <si>
    <t xml:space="preserve">Toucas</t>
  </si>
  <si>
    <t xml:space="preserve">IN-00065</t>
  </si>
  <si>
    <t xml:space="preserve">Gel Antisséptico</t>
  </si>
  <si>
    <t xml:space="preserve">IN-00066</t>
  </si>
  <si>
    <t xml:space="preserve">Avental descartável</t>
  </si>
  <si>
    <t xml:space="preserve">Matriz de SKUs de picolé: cada sabor × cada embalagem prevista no modelo</t>
  </si>
  <si>
    <t xml:space="preserve">O cadastro do sistema não informa a gramatura/embalagem do picolé. Esta matriz mostra todas as combinações do modelo para a Técnica indicar quais são vendidas. SKU = "PC" &amp; sabor &amp; tamanho &amp; linha.</t>
  </si>
  <si>
    <t xml:space="preserve">Gramatura de 55 g</t>
  </si>
  <si>
    <t xml:space="preserve">Gramatura de 60 g</t>
  </si>
  <si>
    <t xml:space="preserve">Gramatura de 70 g</t>
  </si>
  <si>
    <t xml:space="preserve">Gramatura de 90 g</t>
  </si>
  <si>
    <t xml:space="preserve">Caixa c/ 20 un.</t>
  </si>
  <si>
    <t xml:space="preserve">Sabor
(Bloco 2)</t>
  </si>
  <si>
    <t xml:space="preserve">Classe</t>
  </si>
  <si>
    <t xml:space="preserve">Sabor</t>
  </si>
  <si>
    <t xml:space="preserve">Origem do código</t>
  </si>
  <si>
    <t xml:space="preserve">No sistema?</t>
  </si>
  <si>
    <t xml:space="preserve">Linha
(Bloco 4)</t>
  </si>
  <si>
    <t xml:space="preserve">55</t>
  </si>
  <si>
    <t xml:space="preserve">60</t>
  </si>
  <si>
    <t xml:space="preserve">70</t>
  </si>
  <si>
    <t xml:space="preserve">90</t>
  </si>
  <si>
    <t xml:space="preserve">C2</t>
  </si>
  <si>
    <t xml:space="preserve">Ao Leite</t>
  </si>
  <si>
    <t xml:space="preserve">Modelo</t>
  </si>
  <si>
    <t xml:space="preserve">Sim</t>
  </si>
  <si>
    <t xml:space="preserve">Açaí c/ Leite Condensado</t>
  </si>
  <si>
    <t xml:space="preserve">Algodão Doce</t>
  </si>
  <si>
    <t xml:space="preserve">Chocolate Zero</t>
  </si>
  <si>
    <t xml:space="preserve">ChocoYeez</t>
  </si>
  <si>
    <t xml:space="preserve">Maracujá c/ Leite Condensado</t>
  </si>
  <si>
    <t xml:space="preserve">Morango c/ Leite Condensado</t>
  </si>
  <si>
    <t xml:space="preserve">Base Frutas</t>
  </si>
  <si>
    <t xml:space="preserve">Manga</t>
  </si>
  <si>
    <t xml:space="preserve">Morango</t>
  </si>
  <si>
    <t xml:space="preserve">Uva</t>
  </si>
  <si>
    <t xml:space="preserve">Abacaxi c/ Hortelã</t>
  </si>
  <si>
    <t xml:space="preserve">Açaí</t>
  </si>
  <si>
    <t xml:space="preserve">Goiaba</t>
  </si>
  <si>
    <t xml:space="preserve">Pedaços de Frutas</t>
  </si>
  <si>
    <t xml:space="preserve">Água de Coco c/ Frutas</t>
  </si>
  <si>
    <t xml:space="preserve">Melancia c/ Frutas</t>
  </si>
  <si>
    <t xml:space="preserve">Recheados</t>
  </si>
  <si>
    <t xml:space="preserve">ChocoBrownie</t>
  </si>
  <si>
    <t xml:space="preserve">Doce de Leite</t>
  </si>
  <si>
    <t xml:space="preserve">Mousse de Limão</t>
  </si>
  <si>
    <t xml:space="preserve">Não (só nas OPs/modelo Luna)</t>
  </si>
  <si>
    <t xml:space="preserve">Mousse de Maracujá</t>
  </si>
  <si>
    <t xml:space="preserve">Brigadeiro</t>
  </si>
  <si>
    <t xml:space="preserve">Romeu e Julieta</t>
  </si>
  <si>
    <t xml:space="preserve">Dicionário de códigos usados neste relatório</t>
  </si>
  <si>
    <t xml:space="preserve">Origem: Modelo = tabelas dos arquivos de modelo · Lista de frutas = lista_de_frutas_A_Z.xlsx · Proposto = criado nesta análise, pendente de validação. A coluna "Nº de produtos" conta o uso na aba SKUs.</t>
  </si>
  <si>
    <t xml:space="preserve">Bloco</t>
  </si>
  <si>
    <t xml:space="preserve">Código</t>
  </si>
  <si>
    <t xml:space="preserve">Significado</t>
  </si>
  <si>
    <t xml:space="preserve">Origem</t>
  </si>
  <si>
    <t xml:space="preserve">Observação</t>
  </si>
  <si>
    <t xml:space="preserve">Nº de produtos</t>
  </si>
  <si>
    <t xml:space="preserve">Bloco 1 – Tipo</t>
  </si>
  <si>
    <t xml:space="preserve">Gelato</t>
  </si>
  <si>
    <t xml:space="preserve">Picolé</t>
  </si>
  <si>
    <t xml:space="preserve">Bloco 2 – Sabor (GL)</t>
  </si>
  <si>
    <t xml:space="preserve">Ao Leite – Chocolate Belga</t>
  </si>
  <si>
    <t xml:space="preserve">Sabor de referência do modelo</t>
  </si>
  <si>
    <t xml:space="preserve">Ao Leite – Banoffee</t>
  </si>
  <si>
    <t xml:space="preserve">Ao Leite – Chocolate Branco</t>
  </si>
  <si>
    <t xml:space="preserve">Ao Leite – Chocolate Crocante</t>
  </si>
  <si>
    <t xml:space="preserve">Ao Leite – Chocolate Dubai</t>
  </si>
  <si>
    <t xml:space="preserve">Ao Leite – Chocolate Intenso</t>
  </si>
  <si>
    <t xml:space="preserve">Ao Leite – Coco Branco</t>
  </si>
  <si>
    <t xml:space="preserve">Ao Leite – Coco Queimado</t>
  </si>
  <si>
    <t xml:space="preserve">Ao Leite – Creme de Morango</t>
  </si>
  <si>
    <t xml:space="preserve">Ao Leite – Doce de Leite</t>
  </si>
  <si>
    <t xml:space="preserve">Ao Leite – Floresta Negra</t>
  </si>
  <si>
    <t xml:space="preserve">Ao Leite – Gelato de Café</t>
  </si>
  <si>
    <t xml:space="preserve">Ao Leite – Gianduia</t>
  </si>
  <si>
    <t xml:space="preserve">Ao Leite – Leite Trufado</t>
  </si>
  <si>
    <t xml:space="preserve">Ao Leite – Mocca</t>
  </si>
  <si>
    <t xml:space="preserve">Ao Leite – Mousse de Maracujá</t>
  </si>
  <si>
    <t xml:space="preserve">Ao Leite – Mousse de Pistache com Laranja</t>
  </si>
  <si>
    <t xml:space="preserve">Ao Leite – Nocciola Crocante</t>
  </si>
  <si>
    <t xml:space="preserve">Ao Leite – Paçoca</t>
  </si>
  <si>
    <t xml:space="preserve">Ao Leite – Pavlova</t>
  </si>
  <si>
    <t xml:space="preserve">Ao Leite – Pistache</t>
  </si>
  <si>
    <t xml:space="preserve">Ao Leite – Rosso Nero</t>
  </si>
  <si>
    <t xml:space="preserve">Ao Leite – Snichelato</t>
  </si>
  <si>
    <t xml:space="preserve">Ao Leite – Speculoos</t>
  </si>
  <si>
    <t xml:space="preserve">Ao Leite – Stracciatella</t>
  </si>
  <si>
    <t xml:space="preserve">Ao Leite – Tiramisù</t>
  </si>
  <si>
    <t xml:space="preserve">Ao Leite – Torta de Limão</t>
  </si>
  <si>
    <t xml:space="preserve">Ao Leite – Yogurt com Amarena</t>
  </si>
  <si>
    <t xml:space="preserve">Ao Leite – Yogurt com Jabuticaba</t>
  </si>
  <si>
    <t xml:space="preserve">Sorbet – Sorbet Manga</t>
  </si>
  <si>
    <t xml:space="preserve">Exemplo ilustrativo do modelo – sabor a confirmar</t>
  </si>
  <si>
    <t xml:space="preserve">Sorbet – Sorbet Frutas Vermelhas</t>
  </si>
  <si>
    <t xml:space="preserve">Sorbet – Sorbet Grape Fruit</t>
  </si>
  <si>
    <t xml:space="preserve">Sorbet – Sorbet Limão</t>
  </si>
  <si>
    <t xml:space="preserve">Sorbet – Sorbet Manga com Maracujá Zero</t>
  </si>
  <si>
    <t xml:space="preserve">Sorbet – Sorbet Maracujá</t>
  </si>
  <si>
    <t xml:space="preserve">Sorbet – Sorbet Morango</t>
  </si>
  <si>
    <t xml:space="preserve">Sorbet – Sorbet Zeríssimo</t>
  </si>
  <si>
    <t xml:space="preserve">Bloco 2 – Sabor (PC)</t>
  </si>
  <si>
    <t xml:space="preserve">Ao Leite – Açaí c/ Leite Condensado</t>
  </si>
  <si>
    <t xml:space="preserve">Classe a validar</t>
  </si>
  <si>
    <t xml:space="preserve">Ao Leite – Algodão Doce</t>
  </si>
  <si>
    <t xml:space="preserve">Ao Leite – Chocolate Zero</t>
  </si>
  <si>
    <t xml:space="preserve">Ao Leite – ChocoYeez</t>
  </si>
  <si>
    <t xml:space="preserve">Código novo na sequência da classe</t>
  </si>
  <si>
    <t xml:space="preserve">Ao Leite – Maracujá c/ Leite Condensado</t>
  </si>
  <si>
    <t xml:space="preserve">Ao Leite – Morango c/ Leite Condensado</t>
  </si>
  <si>
    <t xml:space="preserve">Base Frutas – Manga</t>
  </si>
  <si>
    <t xml:space="preserve">Base Frutas – Morango</t>
  </si>
  <si>
    <t xml:space="preserve">Base Frutas – Uva</t>
  </si>
  <si>
    <t xml:space="preserve">Base Frutas – Abacaxi c/ Hortelã</t>
  </si>
  <si>
    <t xml:space="preserve">Base Frutas – Açaí</t>
  </si>
  <si>
    <t xml:space="preserve">Base Frutas – Goiaba</t>
  </si>
  <si>
    <t xml:space="preserve">Base Frutas – Limão</t>
  </si>
  <si>
    <t xml:space="preserve">Pedaços de Frutas – Água de Coco c/ Frutas</t>
  </si>
  <si>
    <t xml:space="preserve">Pedaços de Frutas – Melancia c/ Frutas</t>
  </si>
  <si>
    <t xml:space="preserve">Recheados – ChocoBrownie</t>
  </si>
  <si>
    <t xml:space="preserve">Recheados – Doce de Leite</t>
  </si>
  <si>
    <t xml:space="preserve">Recheados – Leite Trufado</t>
  </si>
  <si>
    <t xml:space="preserve">Recheados – Mousse de Limão</t>
  </si>
  <si>
    <t xml:space="preserve">Recheados – Mousse de Maracujá</t>
  </si>
  <si>
    <t xml:space="preserve">Recheados – Pistache</t>
  </si>
  <si>
    <t xml:space="preserve">Recheados – Brigadeiro</t>
  </si>
  <si>
    <t xml:space="preserve">Recheados – Romeu e Julieta</t>
  </si>
  <si>
    <t xml:space="preserve">Recheados – Torta de Limão</t>
  </si>
  <si>
    <t xml:space="preserve">Bloco 3 – Tamanho/Embalagem</t>
  </si>
  <si>
    <t xml:space="preserve">12</t>
  </si>
  <si>
    <t xml:space="preserve">Pote 120 g</t>
  </si>
  <si>
    <t xml:space="preserve">OP usa pote de 150 g</t>
  </si>
  <si>
    <t xml:space="preserve">Pote 360 g</t>
  </si>
  <si>
    <t xml:space="preserve">Caixa 6 kg (modelo: "Caixa 06" / "6200 L")</t>
  </si>
  <si>
    <t xml:space="preserve">Unidade diverge entre abas do modelo</t>
  </si>
  <si>
    <t xml:space="preserve">B4</t>
  </si>
  <si>
    <t xml:space="preserve">Balde 4 L</t>
  </si>
  <si>
    <t xml:space="preserve">Estrutura Base usa "BL"</t>
  </si>
  <si>
    <t xml:space="preserve">CP</t>
  </si>
  <si>
    <t xml:space="preserve">(sem definição – "?" no simulador)</t>
  </si>
  <si>
    <t xml:space="preserve">Não utilizado</t>
  </si>
  <si>
    <t xml:space="preserve">CM</t>
  </si>
  <si>
    <t xml:space="preserve">Pote 240 g</t>
  </si>
  <si>
    <t xml:space="preserve">Existe no cadastro; não existe no modelo</t>
  </si>
  <si>
    <t xml:space="preserve">Pote 150 (g/ml)</t>
  </si>
  <si>
    <t xml:space="preserve">Cadastro: 150 ml; OP: 150 g</t>
  </si>
  <si>
    <t xml:space="preserve">Picolé gramatura 55 g</t>
  </si>
  <si>
    <t xml:space="preserve">Picolé gramatura 60 g</t>
  </si>
  <si>
    <t xml:space="preserve">OPs citam palito de 60 mL</t>
  </si>
  <si>
    <t xml:space="preserve">Picolé gramatura 70 g</t>
  </si>
  <si>
    <t xml:space="preserve">Picolé gramatura 90 g</t>
  </si>
  <si>
    <t xml:space="preserve">Estrutura Base cita 50/60/70/80/90</t>
  </si>
  <si>
    <t xml:space="preserve">Picolé – caixa com 20 un.</t>
  </si>
  <si>
    <t xml:space="preserve">OPs citam caixa de 12 un.</t>
  </si>
  <si>
    <t xml:space="preserve">Gramatura/embalagem a definir (marcador provisório)</t>
  </si>
  <si>
    <t xml:space="preserve">Substituir após decisão da Técnica</t>
  </si>
  <si>
    <t xml:space="preserve">Bloco 4 – Linha</t>
  </si>
  <si>
    <t xml:space="preserve">Tradicional</t>
  </si>
  <si>
    <t xml:space="preserve">Zero Açúcar</t>
  </si>
  <si>
    <t xml:space="preserve">VG</t>
  </si>
  <si>
    <t xml:space="preserve">Vegano</t>
  </si>
  <si>
    <t xml:space="preserve">Proteico</t>
  </si>
  <si>
    <t xml:space="preserve">CB</t>
  </si>
  <si>
    <t xml:space="preserve">Venda Premium (citado no simulador)</t>
  </si>
  <si>
    <t xml:space="preserve">Sem linha na tabela de Estrutura Base</t>
  </si>
  <si>
    <t xml:space="preserve">RC</t>
  </si>
  <si>
    <t xml:space="preserve">(citado no simulador, sem definição)</t>
  </si>
  <si>
    <t xml:space="preserve">Matéria-prima</t>
  </si>
  <si>
    <t xml:space="preserve">Bloco 2 – Categoria</t>
  </si>
  <si>
    <t xml:space="preserve">LATICÍNIOS</t>
  </si>
  <si>
    <t xml:space="preserve">FRUTA</t>
  </si>
  <si>
    <t xml:space="preserve">BASE</t>
  </si>
  <si>
    <t xml:space="preserve">ACABAMENTO</t>
  </si>
  <si>
    <t xml:space="preserve">OVOS E OVOPRODUTOS</t>
  </si>
  <si>
    <t xml:space="preserve">Categoria nova (faixa 500–599)</t>
  </si>
  <si>
    <t xml:space="preserve">GORDURAS E ÓLEOS</t>
  </si>
  <si>
    <t xml:space="preserve">Categoria nova (faixa 600–699)</t>
  </si>
  <si>
    <t xml:space="preserve">ADITIVOS, AROMAS E AUXILIARES DE PROCESSO</t>
  </si>
  <si>
    <t xml:space="preserve">Categoria nova (faixa 700–799)</t>
  </si>
  <si>
    <t xml:space="preserve">CEREAIS, FARINHAS E AMIDOS</t>
  </si>
  <si>
    <t xml:space="preserve">Categoria nova (faixa 800–899)</t>
  </si>
  <si>
    <t xml:space="preserve">Bloco 3 – Descrição (FR)</t>
  </si>
  <si>
    <t xml:space="preserve">Abacaxi (fruta)</t>
  </si>
  <si>
    <t xml:space="preserve">Lista de frutas</t>
  </si>
  <si>
    <t xml:space="preserve">Açaí (fruta)</t>
  </si>
  <si>
    <t xml:space="preserve">Bloco 3 – Descrição (BA)</t>
  </si>
  <si>
    <t xml:space="preserve">Bloco 3 – Descrição (AC)</t>
  </si>
  <si>
    <t xml:space="preserve">Bloco 3 – Descrição (AD)</t>
  </si>
  <si>
    <t xml:space="preserve">Bloco 3 – Descrição (OV)</t>
  </si>
  <si>
    <t xml:space="preserve">Bloco 3 – Descrição (LT)</t>
  </si>
  <si>
    <t xml:space="preserve">Bloco 3 – Descrição (CE)</t>
  </si>
  <si>
    <t xml:space="preserve">Framboesa (fruta)</t>
  </si>
  <si>
    <t xml:space="preserve">Kiwi (fruta)</t>
  </si>
  <si>
    <t xml:space="preserve">Limão (fruta)</t>
  </si>
  <si>
    <t xml:space="preserve">Manga (fruta)</t>
  </si>
  <si>
    <t xml:space="preserve">Maracujá (fruta)</t>
  </si>
  <si>
    <t xml:space="preserve">Bloco 3 – Descrição (GO)</t>
  </si>
  <si>
    <t xml:space="preserve">Melancia (fruta)</t>
  </si>
  <si>
    <t xml:space="preserve">Mirtilo (fruta)</t>
  </si>
  <si>
    <t xml:space="preserve">Morango (fruta)</t>
  </si>
  <si>
    <t xml:space="preserve">Uva (fruta)</t>
  </si>
  <si>
    <t xml:space="preserve">Banana (fruta)</t>
  </si>
  <si>
    <t xml:space="preserve">Laranja (fruta)</t>
  </si>
  <si>
    <t xml:space="preserve">Goiaba (fruta)</t>
  </si>
  <si>
    <t xml:space="preserve">Bloco 4 – Armazenamento</t>
  </si>
  <si>
    <t xml:space="preserve">Seco</t>
  </si>
  <si>
    <t xml:space="preserve">Inferido do tipo de produto (o sistema não registra)</t>
  </si>
  <si>
    <t xml:space="preserve">Refrigerado</t>
  </si>
  <si>
    <t xml:space="preserve">Congelado</t>
  </si>
  <si>
    <t xml:space="preserve">Hortifruti</t>
  </si>
  <si>
    <t xml:space="preserve">Hortifruti no modelo; simulador chama de "antecâmara"</t>
  </si>
  <si>
    <t xml:space="preserve">Embalagem</t>
  </si>
  <si>
    <t xml:space="preserve">Primária</t>
  </si>
  <si>
    <t xml:space="preserve">Simulador usa "EMPRI100"</t>
  </si>
  <si>
    <t xml:space="preserve">Secundária</t>
  </si>
  <si>
    <t xml:space="preserve">Bloco 3 – Descrição (PR)</t>
  </si>
  <si>
    <t xml:space="preserve">Item específico dentro da família de descrição</t>
  </si>
  <si>
    <t xml:space="preserve">Bloco 3 – Descrição (SE)</t>
  </si>
  <si>
    <t xml:space="preserve">Bloco 4 – Complemento</t>
  </si>
  <si>
    <t xml:space="preserve">PE</t>
  </si>
  <si>
    <t xml:space="preserve">PELÍCULA</t>
  </si>
  <si>
    <t xml:space="preserve">PA</t>
  </si>
  <si>
    <t xml:space="preserve">PAZINHA</t>
  </si>
  <si>
    <t xml:space="preserve">FS</t>
  </si>
  <si>
    <t xml:space="preserve">FILME STRETCH</t>
  </si>
  <si>
    <t xml:space="preserve">FITA CREPE</t>
  </si>
  <si>
    <t xml:space="preserve">Usado apenas em fita crepe (FC)</t>
  </si>
  <si>
    <t xml:space="preserve">Pontos para decisão da área técnica</t>
  </si>
  <si>
    <t xml:space="preserve">Inconsistências encontradas nos modelos e decisões adotadas provisoriamente neste relatório. Preencher a última coluna para consolidar a validação.</t>
  </si>
  <si>
    <t xml:space="preserve">#</t>
  </si>
  <si>
    <t xml:space="preserve">Assunto</t>
  </si>
  <si>
    <t xml:space="preserve">O que foi encontrado</t>
  </si>
  <si>
    <t xml:space="preserve">Tratamento adotado neste relatório</t>
  </si>
  <si>
    <t xml:space="preserve">Código do balde</t>
  </si>
  <si>
    <t xml:space="preserve">Estrutura Base usa "BL"; aba Tipos e Simulador usam "B4" (Balde 4 L).</t>
  </si>
  <si>
    <t xml:space="preserve">Usado B4. Nenhum produto do sistema usa balde.</t>
  </si>
  <si>
    <t xml:space="preserve">Caixa de gelato (C1)</t>
  </si>
  <si>
    <t xml:space="preserve">"Caixa 06" (Estrutura Base) vs "Caixa de 6200 L" (Tipos; o comentário do arquivo fala em 6,2 L). O sistema (embalagem padrão) e as OPs usam caixa de 6 kg.</t>
  </si>
  <si>
    <t xml:space="preserve">Assumido C1 = caixa de 6 kg para todos os gelatos cadastrados a granel. Confirmar unidade (kg ou L).</t>
  </si>
  <si>
    <t xml:space="preserve">Códigos CP, CM, CG</t>
  </si>
  <si>
    <t xml:space="preserve">Aparecem no simulador de gelato com descrição "?" (indefinidos).</t>
  </si>
  <si>
    <t xml:space="preserve">Não utilizados. Definir significado (cuba pequena/média/grande?).</t>
  </si>
  <si>
    <t xml:space="preserve">Potes de gelato</t>
  </si>
  <si>
    <t xml:space="preserve">Modelo: 12 = 120 g e 36 = 360 g. OPs: potes de 150 g e 360 g. Sistema: potes de 240 g e 360 g, e 1 produto "150ml" (proteico).</t>
  </si>
  <si>
    <t xml:space="preserve">Mantido 36. Criados 24 (240 g) e 15 (150) como PROPOSTA. Confirmar também se 12 = 120 g ou 150 g.</t>
  </si>
  <si>
    <t xml:space="preserve">Gramatura/embalagem do picolé</t>
  </si>
  <si>
    <t xml:space="preserve">Modelo: 55/60/70/90 (Tipos) e 50/60/70/80/90 (Estrutura Base). OPs: palitos de 60 mL e 80 mL. O cadastro do sistema não informa a gramatura de nenhum picolé.</t>
  </si>
  <si>
    <t xml:space="preserve">SKU provisório com "XX" no Bloco 3 (status Pendente). Aba Matriz Picolé lista todas as combinações para a Técnica escolher.</t>
  </si>
  <si>
    <t xml:space="preserve">Caixa de picolé (C2)</t>
  </si>
  <si>
    <t xml:space="preserve">Modelo: caixa com 20 un. (código C2; um comentário cita "CX20"). OPs: "Caixas de 12 unid.".</t>
  </si>
  <si>
    <t xml:space="preserve">Mantido C2 do modelo. Confirmar 12 ou 20 unidades. Itens do sistema com unidade "CX"/"Cx" (ex.: PF-00036, PF-00046) não têm regra para distinguir unidade de caixa.</t>
  </si>
  <si>
    <t xml:space="preserve">Marca (Luna × Yeez)</t>
  </si>
  <si>
    <t xml:space="preserve">O modelo de picolé nomeia os sabores como "PICOLÉ LUNA …" e não há bloco de marca. O sistema só tem picolés Yeez; as OPs têm os mesmos sabores nas duas marcas.</t>
  </si>
  <si>
    <t xml:space="preserve">Códigos de sabor do modelo reaproveitados para os picolés Yeez. Hoje não há colisão no cadastro, mas Luna e Yeez do mesmo sabor teriam o mesmo SKU. Definir como diferenciar.</t>
  </si>
  <si>
    <t xml:space="preserve">Linhas (Bloco 4)</t>
  </si>
  <si>
    <t xml:space="preserve">Tabela tem TR, ZR, VG, PT. Simulador cita também CB ("Venda Premium") e RC, sem definição. Produtos "Passione Plus" e "Passione" não têm linha equivalente.</t>
  </si>
  <si>
    <t xml:space="preserve">Todos TR, exceto ZR (Manga com Maracujá Zero, Sorbet Zeríssimo, Picolé Chocolate Zero) e PT (Chocolate Crocante Proteico), inferidos pelo nome.</t>
  </si>
  <si>
    <t xml:space="preserve">Classes do picolé</t>
  </si>
  <si>
    <t xml:space="preserve">Estrutura Base: "Base Água"; aba Classes: "Base Frutas". Sabor 202 não existe (lacuna entre 201 e 203).</t>
  </si>
  <si>
    <t xml:space="preserve">Usado "Base Frutas"; código 202 não reutilizado (novos começam em 204).</t>
  </si>
  <si>
    <t xml:space="preserve">Sabores novos</t>
  </si>
  <si>
    <t xml:space="preserve">O modelo define 12 sabores de picolé e 2 de gelato (referência). O sistema tem 24 sabores de picolé e cerca de 36 de gelato.</t>
  </si>
  <si>
    <t xml:space="preserve">Códigos novos atribuídos em sequência dentro da classe, em ordem alfabética (aba Dicionário). Classes marcadas "a validar": Algodão Doce, Chocolate Zero, Romeu e Julieta, Brigadeiro, Torta de Limão, Melancia c/ Frutas e os picolés "c/ Leite Condensado".</t>
  </si>
  <si>
    <t xml:space="preserve">Chocolate Belga × Chocolate Intenso</t>
  </si>
  <si>
    <t xml:space="preserve">O modelo usa "Chocolate Belga Ao Leite" (101) como referência; o sistema não tem esse nome. Potes "Chocolate 240/360g" combinam com as embalagens "belga".</t>
  </si>
  <si>
    <t xml:space="preserve">Potes "Chocolate" → 101. "Chocolate Intenso" (granel) recebeu código próprio (106). Confirmar se são o mesmo produto. Mesma dúvida para pote "Morango" (assumido Creme de Morango) e pote "Coco" (assumido Coco Branco).</t>
  </si>
  <si>
    <t xml:space="preserve">Sorbet 200</t>
  </si>
  <si>
    <t xml:space="preserve">O modelo traz "Sorbet de Manga (sabor a confirmar)" como exemplo ilustrativo (comentário do arquivo).</t>
  </si>
  <si>
    <t xml:space="preserve">Usado 200 para Sorbet Manga e demais sorbets de 201 em diante. Confirmar.</t>
  </si>
  <si>
    <t xml:space="preserve">Confeitaria</t>
  </si>
  <si>
    <t xml:space="preserve">Petit Gateau e Massa de Casquinha (estoque negativo no sistema) não se encaixam em GL nem PC.</t>
  </si>
  <si>
    <t xml:space="preserve">Sem SKU. Definir tipo/regra para confeitaria.</t>
  </si>
  <si>
    <t xml:space="preserve">Duplicidade no cadastro</t>
  </si>
  <si>
    <t xml:space="preserve">Sorbet Manga (PF-00019 e PF-00081) e Sorbet Frutas Vermelhas (PF-00017 e PF-00082) estão cadastrados duas vezes.</t>
  </si>
  <si>
    <t xml:space="preserve">Geram o mesmo SKU (coluna Unicidade = DUPLICADO). Unificar ou diferenciar.</t>
  </si>
  <si>
    <t xml:space="preserve">Gelato a granel sem embalagem</t>
  </si>
  <si>
    <t xml:space="preserve">Gelatos cadastrados em Kg/Cx/Un não indicam a embalagem.</t>
  </si>
  <si>
    <t xml:space="preserve">Assumido C1 (caixa 6 kg). Unidades inconsistentes (Kg, kg, Cx, Un, vazio) – ver aba Alertas.</t>
  </si>
  <si>
    <t xml:space="preserve">Categorias do modelo</t>
  </si>
  <si>
    <t xml:space="preserve">O modelo só tem LT, FR, BA, AC. Há itens que não cabem (ovos, óleos/margarina, sal/água/aromas/ácidos, farinhas/amidos).</t>
  </si>
  <si>
    <t xml:space="preserve">Propostas OV, GO, AD e CE (faixas 500, 600, 700, 800). Classificação dos demais por analogia: açúcares/glucoses/bases/estabilizantes → BA; chocolates, pastas, variegatos, coberturas, biscoitos, castanhas → AC; leites, cremes, queijos, doce de leite → LT.</t>
  </si>
  <si>
    <t xml:space="preserve">Exemplos do simulador × lista de frutas</t>
  </si>
  <si>
    <t xml:space="preserve">Simulador: Morango = 200 e Banana = 201; lista de frutas: Morango = 247, Banana = 205 e 201 = Abacaxi. Linha MPFR200RF "Morango congelado" tem armazenamento CG na coluna mas RF no SKU.</t>
  </si>
  <si>
    <t xml:space="preserve">Adotada a lista de frutas (200–275). Os exemplos do simulador devem ser corrigidos.</t>
  </si>
  <si>
    <t xml:space="preserve">Sigla AC repetida</t>
  </si>
  <si>
    <t xml:space="preserve">AC = Acabamento (Bloco 2) e AC = Hortifruti (Bloco 4; o simulador chama de "antecâmara").</t>
  </si>
  <si>
    <t xml:space="preserve">Usado AC = Hortifruti no Bloco 4. Posições distintas, mas pode confundir.</t>
  </si>
  <si>
    <t xml:space="preserve">Armazenamento</t>
  </si>
  <si>
    <t xml:space="preserve">O sistema não registra o armazenamento. Códigos SC/RF/CG/AC foram inferidos pelo tipo de produto (ex.: pastas/variegatos = seco; ovos e laticínios frescos = refrigerado; polpas = congelado).</t>
  </si>
  <si>
    <t xml:space="preserve">Inferido para todos os MPs. Validar item a item (coluna Blocos propostos / assumidos). Ovo in natura, suco concentrado e água de coco são os mais incertos.</t>
  </si>
  <si>
    <t xml:space="preserve">Frutas fora da lista</t>
  </si>
  <si>
    <t xml:space="preserve">Amora e Coco (verde, seco, ralado, água, leite) não estão na lista A–Z.</t>
  </si>
  <si>
    <t xml:space="preserve">Códigos 276+ propostos. Incluir na lista oficial.</t>
  </si>
  <si>
    <t xml:space="preserve">Variantes da mesma fruta</t>
  </si>
  <si>
    <t xml:space="preserve">O modelo não prevê fruta inteira × fatiada × polpa × suco. Usado o armazenamento para diferenciar (ex.: Manga 243 AC/RF/CG). Quando a fruta e o armazenamento coincidem (ex.: Maracujá com/sem sementes), foi criado código novo 276+.</t>
  </si>
  <si>
    <t xml:space="preserve">Confirmar a regra: armazenamento como diferenciador ou código de variante.</t>
  </si>
  <si>
    <t xml:space="preserve">Embalagens cadastradas como MP</t>
  </si>
  <si>
    <t xml:space="preserve">Caixas de gelato (MP-13/14/15), palitos (MP-74/75/171/182) e selo metálico (MP-81) estão no cadastro de matéria-prima.</t>
  </si>
  <si>
    <t xml:space="preserve">Reclassificados para EM (embalagem). Migrar de cadastro quando o sistema for adequado.</t>
  </si>
  <si>
    <t xml:space="preserve">Registro vazio</t>
  </si>
  <si>
    <t xml:space="preserve">MP-00097 não tem nome nem unidade.</t>
  </si>
  <si>
    <t xml:space="preserve">Sem SKU. Excluir ou preencher.</t>
  </si>
  <si>
    <t xml:space="preserve">Possíveis duplicidades</t>
  </si>
  <si>
    <t xml:space="preserve">Ver aba Alertas de cadastro.</t>
  </si>
  <si>
    <t xml:space="preserve">Cada cadastro recebeu SKU próprio; unificações mudariam os códigos.</t>
  </si>
  <si>
    <t xml:space="preserve">Categoria no simulador</t>
  </si>
  <si>
    <t xml:space="preserve">Simulador traz "EMPRI100" (3 letras) mas a Estrutura Base define PR.</t>
  </si>
  <si>
    <t xml:space="preserve">Usado PR.</t>
  </si>
  <si>
    <t xml:space="preserve">Uso do complemento (PE, PA, FS, FC)</t>
  </si>
  <si>
    <t xml:space="preserve">Película, pazinha, filme stretch e fita crepe aparecem como "complemento", mas são itens por si mesmos; simulador de EM tem só 1 linha de exemplo.</t>
  </si>
  <si>
    <t xml:space="preserve">Complemento usado só na fita crepe (FC). Definir regra de uso.</t>
  </si>
  <si>
    <t xml:space="preserve">Famílias de descrição</t>
  </si>
  <si>
    <t xml:space="preserve">Modelo define PR: caixa, pote, bobina, palito; SE: caixa, etiqueta (300/400 em branco).</t>
  </si>
  <si>
    <t xml:space="preserve">Propostas: PR 500 tampa/selo, 600 saco/embalagem flexível, 700 forma/embalagem de confeitaria; SE 300 fita/filme. Embalagem de variegato classificada em PR 200 (pote/frasco). Cada item tem código sequencial dentro da família.</t>
  </si>
  <si>
    <t xml:space="preserve">Filme PVC e fita adesiva</t>
  </si>
  <si>
    <t xml:space="preserve">O modelo só prevê filme stretch (FS) e fita crepe (FC).</t>
  </si>
  <si>
    <t xml:space="preserve">Filme PVC (IN-30) e fita adesiva (IN-31) sem complemento. Confirmar.</t>
  </si>
  <si>
    <t xml:space="preserve">IN</t>
  </si>
  <si>
    <t xml:space="preserve">Itens sem família</t>
  </si>
  <si>
    <t xml:space="preserve">32 itens do cadastro de Insumos (limpeza, EPI, escritório, higiene, consumíveis de impressão, utensílios, copa) não são produto final, matéria-prima nem embalagem.</t>
  </si>
  <si>
    <t xml:space="preserve">Sem SKU (status Pendente). Definir modelo de uso e consumo se esses itens devem seguir a mesma regra.</t>
  </si>
  <si>
    <t xml:space="preserve">Geral</t>
  </si>
  <si>
    <t xml:space="preserve">Marca em embalagens</t>
  </si>
  <si>
    <t xml:space="preserve">Copos e tampas Yeez e Luna são itens distintos; o modelo não tem bloco de marca.</t>
  </si>
  <si>
    <t xml:space="preserve">Diferenciados apenas pelo código sequencial. Confirmar.</t>
  </si>
  <si>
    <t xml:space="preserve">Escopo do relatório</t>
  </si>
  <si>
    <t xml:space="preserve">Considerados os cadastros de estoque: Matéria-Prima (182), Insumos (68) e Produto Acabado (74). Não incluídos: catálogos de pedidos/loja, precificação, inventário de lojas e uniformes.</t>
  </si>
  <si>
    <t xml:space="preserve">Informar se algum desses cadastros também deve receber SKU.</t>
  </si>
  <si>
    <t xml:space="preserve">Protheus</t>
  </si>
  <si>
    <t xml:space="preserve">O arquivo CARGA_SB1_PRODUTOS.csv traz 3 exemplos no padrão antigo (MP000001, PA000001).</t>
  </si>
  <si>
    <t xml:space="preserve">Os SKUs novos têm até 9 caracteres. Confirmar o tamanho do campo B1_COD no ambiente e o mapeamento de B1_TIPO na etapa de adequação.</t>
  </si>
  <si>
    <t xml:space="preserve">Alertas de qualidade do cadastro atual</t>
  </si>
  <si>
    <t xml:space="preserve">Observados durante a extração. Não afetam a regra do SKU, mas convém tratar na etapa de adequação.</t>
  </si>
  <si>
    <t xml:space="preserve">Tipo</t>
  </si>
  <si>
    <t xml:space="preserve">Códigos</t>
  </si>
  <si>
    <t xml:space="preserve">Descrição</t>
  </si>
  <si>
    <t xml:space="preserve">Sem nome, unidade e estoque.</t>
  </si>
  <si>
    <t xml:space="preserve">Provável duplicidade</t>
  </si>
  <si>
    <t xml:space="preserve">MP-00080 · MP-00123</t>
  </si>
  <si>
    <t xml:space="preserve">"Sal refinado" e "Sal".</t>
  </si>
  <si>
    <t xml:space="preserve">MP-00085 · MP-00178</t>
  </si>
  <si>
    <t xml:space="preserve">"Ácido cítrico" e "Acido citrico Anidro".</t>
  </si>
  <si>
    <t xml:space="preserve">MP-00093 · MP-00109 · MP-00110</t>
  </si>
  <si>
    <t xml:space="preserve">"Cacao Miscela", "Cacau Micela" e "Cacau Micela - MEC" (grafias diferentes).</t>
  </si>
  <si>
    <t xml:space="preserve">MP-00098 · MP-00122</t>
  </si>
  <si>
    <t xml:space="preserve">"Variegato Quello - MEC3" e "Variegato Quello".</t>
  </si>
  <si>
    <t xml:space="preserve">MP-00127 · MP-00128 · MP-00121</t>
  </si>
  <si>
    <t xml:space="preserve">"Chocolate (Mocca)", "Crockolosi Meringa" e "Mescla Crockolosi Merengue c/ cho Branco" (pré-cadastros da planilha de gelato).</t>
  </si>
  <si>
    <t xml:space="preserve">MP-00115 · MP-00129</t>
  </si>
  <si>
    <t xml:space="preserve">"Mescla de Morango com Pedaços (Variegato Fragola)" e "Mescla Morango".</t>
  </si>
  <si>
    <t xml:space="preserve">MP-00073 · MP-00142</t>
  </si>
  <si>
    <t xml:space="preserve">"Ovo pasteurizado" e "Ovo".</t>
  </si>
  <si>
    <t xml:space="preserve">MP-00026 · MP-00161 · MP-00172</t>
  </si>
  <si>
    <t xml:space="preserve">Três cadastros de coco seco: "ralado", "Coco Seco Freco" e "em escama".</t>
  </si>
  <si>
    <t xml:space="preserve">MP-00060 · MP-00061 · MP-00112 · MP-00125</t>
  </si>
  <si>
    <t xml:space="preserve">Quatro cadastros de maracujá (com sementes, sem sementes, genérico e azedo).</t>
  </si>
  <si>
    <t xml:space="preserve">MP-00051 · MP-00052</t>
  </si>
  <si>
    <t xml:space="preserve">"Leite em pó integral" e "Leite em pó Integral - Ninho" (marca).</t>
  </si>
  <si>
    <t xml:space="preserve">Duplicidade confirmada</t>
  </si>
  <si>
    <t xml:space="preserve">PF-00019 · PF-00081</t>
  </si>
  <si>
    <t xml:space="preserve">"Sorbet Manga" cadastrado duas vezes (o 2º sem vínculo com precificação).</t>
  </si>
  <si>
    <t xml:space="preserve">PF-00017 · PF-00082</t>
  </si>
  <si>
    <t xml:space="preserve">"Sorbet Frutas Vermelhas" cadastrado duas vezes (o 2º sem vínculo com precificação).</t>
  </si>
  <si>
    <t xml:space="preserve">Estoque negativo</t>
  </si>
  <si>
    <t xml:space="preserve">PF-00055 · PF-00056</t>
  </si>
  <si>
    <t xml:space="preserve">Petit Gateau (-704) e Massa de Casquinha (-63).</t>
  </si>
  <si>
    <t xml:space="preserve">Preço zerado</t>
  </si>
  <si>
    <t xml:space="preserve">Ver relatório relatorio_mp_estoque_sem_preco.xlsx</t>
  </si>
  <si>
    <t xml:space="preserve">16 matérias-primas com estoque e preço zerados (relatório anterior).</t>
  </si>
  <si>
    <t xml:space="preserve">Nome com possível erro</t>
  </si>
  <si>
    <t xml:space="preserve">MP-00161 · MP-00174 · MP-00165 · MP-00167 · MP-00173</t>
  </si>
  <si>
    <t xml:space="preserve">"Coco Seco Freco", "Manga Palper fatiada", "Granela Pistache", "Stracciatella Pistacchio"/"Stracciatela Caramelo Salgado" (grafia inconsistente).</t>
  </si>
  <si>
    <t xml:space="preserve">Unidade em branco</t>
  </si>
  <si>
    <t xml:space="preserve">13 itens de MP/IN · 9 itens de PF</t>
  </si>
  <si>
    <t xml:space="preserve">Cadastros sem unidade de medida.</t>
  </si>
  <si>
    <t xml:space="preserve">Unidade inconsistente</t>
  </si>
  <si>
    <t xml:space="preserve">Vários</t>
  </si>
  <si>
    <t xml:space="preserve">Mesma unidade escrita de formas diferentes (Kg/kg, Un/unid/Pc, Cx/CX); gelatos em Kg, Cx ou Un.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</si>
</sst>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###;\-#,##0.###;0"/>
    <numFmt numFmtId="167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f aca="false">COUNTIF(SKUs!$A$5:$A$327,"PF")</f>
        <v>74</v>
      </c>
      <c r="C6" s="6" t="n">
        <f aca="false">COUNTIFS(SKUs!$A$5:$A$327,"PF",SKUs!$N$5:$N$327,"Conforme")</f>
        <v>1</v>
      </c>
      <c r="D6" s="6" t="n">
        <f aca="false">COUNTIFS(SKUs!$A$5:$A$327,"PF",SKUs!$N$5:$N$327,"Proposto")</f>
        <v>47</v>
      </c>
      <c r="E6" s="6" t="n">
        <f aca="false">COUNTIFS(SKUs!$A$5:$A$327,"PF",SKUs!$N$5:$N$327,"Pendente")</f>
        <v>26</v>
      </c>
    </row>
    <row r="7" customFormat="false" ht="15" hidden="false" customHeight="false" outlineLevel="0" collapsed="false">
      <c r="A7" s="5" t="s">
        <v>9</v>
      </c>
      <c r="B7" s="6" t="n">
        <f aca="false">COUNTIF(SKUs!$A$5:$A$327,"MP")</f>
        <v>174</v>
      </c>
      <c r="C7" s="6" t="n">
        <f aca="false">COUNTIFS(SKUs!$A$5:$A$327,"MP",SKUs!$N$5:$N$327,"Conforme")</f>
        <v>26</v>
      </c>
      <c r="D7" s="6" t="n">
        <f aca="false">COUNTIFS(SKUs!$A$5:$A$327,"MP",SKUs!$N$5:$N$327,"Proposto")</f>
        <v>147</v>
      </c>
      <c r="E7" s="6" t="n">
        <f aca="false">COUNTIFS(SKUs!$A$5:$A$327,"MP",SKUs!$N$5:$N$327,"Pendente")</f>
        <v>1</v>
      </c>
    </row>
    <row r="8" customFormat="false" ht="15" hidden="false" customHeight="false" outlineLevel="0" collapsed="false">
      <c r="A8" s="5" t="s">
        <v>10</v>
      </c>
      <c r="B8" s="6" t="n">
        <f aca="false">COUNTIF(SKUs!$A$5:$A$327,"EM")</f>
        <v>43</v>
      </c>
      <c r="C8" s="6" t="n">
        <f aca="false">COUNTIFS(SKUs!$A$5:$A$327,"EM",SKUs!$N$5:$N$327,"Conforme")</f>
        <v>0</v>
      </c>
      <c r="D8" s="6" t="n">
        <f aca="false">COUNTIFS(SKUs!$A$5:$A$327,"EM",SKUs!$N$5:$N$327,"Proposto")</f>
        <v>43</v>
      </c>
      <c r="E8" s="6" t="n">
        <f aca="false">COUNTIFS(SKUs!$A$5:$A$327,"EM",SKUs!$N$5:$N$327,"Pendente")</f>
        <v>0</v>
      </c>
    </row>
    <row r="9" customFormat="false" ht="15" hidden="false" customHeight="false" outlineLevel="0" collapsed="false">
      <c r="A9" s="5" t="s">
        <v>11</v>
      </c>
      <c r="B9" s="6" t="n">
        <f aca="false">COUNTIF(SKUs!$A$5:$A$327,"—")</f>
        <v>32</v>
      </c>
      <c r="C9" s="6" t="n">
        <f aca="false">COUNTIFS(SKUs!$A$5:$A$327,"—",SKUs!$N$5:$N$327,"Conforme")</f>
        <v>0</v>
      </c>
      <c r="D9" s="6" t="n">
        <f aca="false">COUNTIFS(SKUs!$A$5:$A$327,"—",SKUs!$N$5:$N$327,"Proposto")</f>
        <v>0</v>
      </c>
      <c r="E9" s="6" t="n">
        <f aca="false">COUNTIFS(SKUs!$A$5:$A$327,"—",SKUs!$N$5:$N$327,"Pendente")</f>
        <v>32</v>
      </c>
    </row>
    <row r="10" customFormat="false" ht="15" hidden="false" customHeight="false" outlineLevel="0" collapsed="false">
      <c r="A10" s="7" t="s">
        <v>4</v>
      </c>
      <c r="B10" s="8" t="n">
        <f aca="false">SUM(B6:B9)</f>
        <v>323</v>
      </c>
      <c r="C10" s="8" t="n">
        <f aca="false">SUM(C6:C9)</f>
        <v>27</v>
      </c>
      <c r="D10" s="8" t="n">
        <f aca="false">SUM(D6:D9)</f>
        <v>237</v>
      </c>
      <c r="E10" s="8" t="n">
        <f aca="false">SUM(E6:E9)</f>
        <v>59</v>
      </c>
    </row>
    <row r="11" customFormat="false" ht="15" hidden="false" customHeight="false" outlineLevel="0" collapsed="false">
      <c r="A11" s="9" t="s">
        <v>12</v>
      </c>
      <c r="B11" s="10" t="n">
        <f aca="false">COUNTIF(SKUs!$O$5:$O$327,"DUPLICADO")</f>
        <v>4</v>
      </c>
    </row>
    <row r="13" customFormat="false" ht="15" hidden="false" customHeight="false" outlineLevel="0" collapsed="false">
      <c r="A13" s="11" t="s">
        <v>13</v>
      </c>
    </row>
    <row r="14" customFormat="false" ht="30" hidden="false" customHeight="true" outlineLevel="0" collapsed="false">
      <c r="A14" s="12" t="s">
        <v>14</v>
      </c>
      <c r="B14" s="12"/>
      <c r="C14" s="12"/>
      <c r="D14" s="12"/>
      <c r="E14" s="12"/>
    </row>
    <row r="15" customFormat="false" ht="30" hidden="false" customHeight="true" outlineLevel="0" collapsed="false">
      <c r="A15" s="12" t="s">
        <v>15</v>
      </c>
      <c r="B15" s="12"/>
      <c r="C15" s="12"/>
      <c r="D15" s="12"/>
      <c r="E15" s="12"/>
    </row>
    <row r="16" customFormat="false" ht="30" hidden="false" customHeight="true" outlineLevel="0" collapsed="false">
      <c r="A16" s="12" t="s">
        <v>16</v>
      </c>
      <c r="B16" s="12"/>
      <c r="C16" s="12"/>
      <c r="D16" s="12"/>
      <c r="E16" s="12"/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1" t="s">
        <v>17</v>
      </c>
    </row>
    <row r="19" customFormat="false" ht="30" hidden="false" customHeight="true" outlineLevel="0" collapsed="false">
      <c r="A19" s="12" t="s">
        <v>18</v>
      </c>
      <c r="B19" s="12"/>
      <c r="C19" s="12"/>
      <c r="D19" s="12"/>
      <c r="E19" s="12"/>
    </row>
    <row r="20" customFormat="false" ht="30" hidden="false" customHeight="true" outlineLevel="0" collapsed="false">
      <c r="A20" s="12" t="s">
        <v>19</v>
      </c>
      <c r="B20" s="12"/>
      <c r="C20" s="12"/>
      <c r="D20" s="12"/>
      <c r="E20" s="12"/>
    </row>
    <row r="21" customFormat="false" ht="30" hidden="false" customHeight="true" outlineLevel="0" collapsed="false">
      <c r="A21" s="12" t="s">
        <v>20</v>
      </c>
      <c r="B21" s="12"/>
      <c r="C21" s="12"/>
      <c r="D21" s="12"/>
      <c r="E21" s="12"/>
    </row>
    <row r="22" customFormat="false" ht="15" hidden="false" customHeight="false" outlineLevel="0" collapsed="false">
      <c r="A22" s="13"/>
    </row>
    <row r="23" customFormat="false" ht="15" hidden="false" customHeight="false" outlineLevel="0" collapsed="false">
      <c r="A23" s="11" t="s">
        <v>21</v>
      </c>
    </row>
    <row r="24" customFormat="false" ht="45" hidden="false" customHeight="true" outlineLevel="0" collapsed="false">
      <c r="A24" s="12" t="s">
        <v>22</v>
      </c>
      <c r="B24" s="12"/>
      <c r="C24" s="12"/>
      <c r="D24" s="12"/>
      <c r="E24" s="12"/>
    </row>
    <row r="25" customFormat="false" ht="30" hidden="false" customHeight="true" outlineLevel="0" collapsed="false">
      <c r="A25" s="12" t="s">
        <v>23</v>
      </c>
      <c r="B25" s="12"/>
      <c r="C25" s="12"/>
      <c r="D25" s="12"/>
      <c r="E25" s="12"/>
    </row>
    <row r="26" customFormat="false" ht="15" hidden="false" customHeight="true" outlineLevel="0" collapsed="false">
      <c r="A26" s="12" t="s">
        <v>24</v>
      </c>
      <c r="B26" s="12"/>
      <c r="C26" s="12"/>
      <c r="D26" s="12"/>
      <c r="E26" s="12"/>
    </row>
    <row r="27" customFormat="false" ht="30" hidden="false" customHeight="true" outlineLevel="0" collapsed="false">
      <c r="A27" s="12" t="s">
        <v>25</v>
      </c>
      <c r="B27" s="12"/>
      <c r="C27" s="12"/>
      <c r="D27" s="12"/>
      <c r="E27" s="12"/>
    </row>
    <row r="28" customFormat="false" ht="15" hidden="false" customHeight="false" outlineLevel="0" collapsed="false">
      <c r="A28" s="13"/>
    </row>
    <row r="29" customFormat="false" ht="15" hidden="false" customHeight="false" outlineLevel="0" collapsed="false">
      <c r="A29" s="11" t="s">
        <v>26</v>
      </c>
    </row>
    <row r="30" customFormat="false" ht="30" hidden="false" customHeight="true" outlineLevel="0" collapsed="false">
      <c r="A30" s="12" t="s">
        <v>27</v>
      </c>
      <c r="B30" s="12"/>
      <c r="C30" s="12"/>
      <c r="D30" s="12"/>
      <c r="E30" s="12"/>
    </row>
    <row r="31" customFormat="false" ht="30" hidden="false" customHeight="true" outlineLevel="0" collapsed="false">
      <c r="A31" s="12" t="s">
        <v>28</v>
      </c>
      <c r="B31" s="12"/>
      <c r="C31" s="12"/>
      <c r="D31" s="12"/>
      <c r="E31" s="12"/>
    </row>
    <row r="32" customFormat="false" ht="15" hidden="false" customHeight="true" outlineLevel="0" collapsed="false">
      <c r="A32" s="12" t="s">
        <v>29</v>
      </c>
      <c r="B32" s="12"/>
      <c r="C32" s="12"/>
      <c r="D32" s="12"/>
      <c r="E32" s="12"/>
    </row>
    <row r="33" customFormat="false" ht="15" hidden="false" customHeight="true" outlineLevel="0" collapsed="false">
      <c r="A33" s="12" t="s">
        <v>30</v>
      </c>
      <c r="B33" s="12"/>
      <c r="C33" s="12"/>
      <c r="D33" s="12"/>
      <c r="E33" s="12"/>
    </row>
    <row r="34" customFormat="false" ht="15" hidden="false" customHeight="true" outlineLevel="0" collapsed="false">
      <c r="A34" s="12" t="s">
        <v>31</v>
      </c>
      <c r="B34" s="12"/>
      <c r="C34" s="12"/>
      <c r="D34" s="12"/>
      <c r="E34" s="12"/>
    </row>
  </sheetData>
  <mergeCells count="15">
    <mergeCell ref="A14:E14"/>
    <mergeCell ref="A15:E15"/>
    <mergeCell ref="A16:E16"/>
    <mergeCell ref="A19:E19"/>
    <mergeCell ref="A20:E20"/>
    <mergeCell ref="A21:E21"/>
    <mergeCell ref="A24:E24"/>
    <mergeCell ref="A25:E25"/>
    <mergeCell ref="A26:E26"/>
    <mergeCell ref="A27:E27"/>
    <mergeCell ref="A30:E30"/>
    <mergeCell ref="A31:E31"/>
    <mergeCell ref="A32:E32"/>
    <mergeCell ref="A33:E3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48"/>
    <col collapsed="false" customWidth="true" hidden="false" outlineLevel="0" max="13" min="13" style="0" width="6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40"/>
    <col collapsed="false" customWidth="true" hidden="false" outlineLevel="0" max="17" min="17" style="0" width="60"/>
    <col collapsed="false" customWidth="true" hidden="false" outlineLevel="0" max="18" min="18" style="0" width="26"/>
  </cols>
  <sheetData>
    <row r="1" customFormat="false" ht="17.35" hidden="false" customHeight="false" outlineLevel="0" collapsed="false">
      <c r="A1" s="14" t="s">
        <v>32</v>
      </c>
    </row>
    <row r="2" customFormat="false" ht="39.7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4" customFormat="false" ht="57.75" hidden="false" customHeight="true" outlineLevel="0" collapsed="false">
      <c r="A4" s="16" t="s">
        <v>3</v>
      </c>
      <c r="B4" s="16" t="s">
        <v>34</v>
      </c>
      <c r="C4" s="16" t="s">
        <v>35</v>
      </c>
      <c r="D4" s="16" t="s">
        <v>36</v>
      </c>
      <c r="E4" s="16" t="s">
        <v>37</v>
      </c>
      <c r="F4" s="16" t="s">
        <v>38</v>
      </c>
      <c r="G4" s="16" t="s">
        <v>39</v>
      </c>
      <c r="H4" s="16" t="s">
        <v>40</v>
      </c>
      <c r="I4" s="16" t="s">
        <v>41</v>
      </c>
      <c r="J4" s="16" t="s">
        <v>42</v>
      </c>
      <c r="K4" s="16" t="s">
        <v>43</v>
      </c>
      <c r="L4" s="16" t="s">
        <v>44</v>
      </c>
      <c r="M4" s="16" t="s">
        <v>45</v>
      </c>
      <c r="N4" s="16" t="s">
        <v>46</v>
      </c>
      <c r="O4" s="16" t="s">
        <v>47</v>
      </c>
      <c r="P4" s="16" t="s">
        <v>48</v>
      </c>
      <c r="Q4" s="16" t="s">
        <v>49</v>
      </c>
      <c r="R4" s="16" t="s">
        <v>50</v>
      </c>
    </row>
    <row r="5" customFormat="false" ht="23.85" hidden="false" customHeight="false" outlineLevel="0" collapsed="false">
      <c r="A5" s="17" t="s">
        <v>51</v>
      </c>
      <c r="B5" s="17" t="s">
        <v>52</v>
      </c>
      <c r="C5" s="17" t="s">
        <v>53</v>
      </c>
      <c r="D5" s="18" t="s">
        <v>54</v>
      </c>
      <c r="E5" s="17"/>
      <c r="F5" s="19" t="n">
        <v>0</v>
      </c>
      <c r="G5" s="20" t="s">
        <v>55</v>
      </c>
      <c r="H5" s="20" t="s">
        <v>56</v>
      </c>
      <c r="I5" s="20" t="s">
        <v>57</v>
      </c>
      <c r="J5" s="20" t="s">
        <v>58</v>
      </c>
      <c r="K5" s="21" t="str">
        <f aca="false">IF(OR(G5="",H5="",I5=""),"",G5&amp;H5&amp;I5&amp;J5)</f>
        <v>GL102C1TR</v>
      </c>
      <c r="L5" s="18" t="s">
        <v>59</v>
      </c>
      <c r="M5" s="18" t="s">
        <v>60</v>
      </c>
      <c r="N5" s="22" t="s">
        <v>6</v>
      </c>
      <c r="O5" s="17" t="str">
        <f aca="false">IF(K5="","",IF(COUNTIF($K$5:$K$327,K5)&gt;1,"DUPLICADO","Único"))</f>
        <v>Único</v>
      </c>
      <c r="P5" s="18" t="s">
        <v>61</v>
      </c>
      <c r="Q5" s="18" t="s">
        <v>62</v>
      </c>
      <c r="R5" s="17"/>
    </row>
    <row r="6" customFormat="false" ht="23.85" hidden="false" customHeight="false" outlineLevel="0" collapsed="false">
      <c r="A6" s="17" t="s">
        <v>51</v>
      </c>
      <c r="B6" s="17" t="s">
        <v>52</v>
      </c>
      <c r="C6" s="17" t="s">
        <v>63</v>
      </c>
      <c r="D6" s="18" t="s">
        <v>64</v>
      </c>
      <c r="E6" s="17" t="s">
        <v>65</v>
      </c>
      <c r="F6" s="19" t="n">
        <v>233</v>
      </c>
      <c r="G6" s="20" t="s">
        <v>55</v>
      </c>
      <c r="H6" s="20" t="s">
        <v>66</v>
      </c>
      <c r="I6" s="20" t="s">
        <v>57</v>
      </c>
      <c r="J6" s="20" t="s">
        <v>58</v>
      </c>
      <c r="K6" s="21" t="str">
        <f aca="false">IF(OR(G6="",H6="",I6=""),"",G6&amp;H6&amp;I6&amp;J6)</f>
        <v>GL106C1TR</v>
      </c>
      <c r="L6" s="18" t="s">
        <v>67</v>
      </c>
      <c r="M6" s="18" t="s">
        <v>68</v>
      </c>
      <c r="N6" s="22" t="s">
        <v>6</v>
      </c>
      <c r="O6" s="17" t="str">
        <f aca="false">IF(K6="","",IF(COUNTIF($K$5:$K$327,K6)&gt;1,"DUPLICADO","Único"))</f>
        <v>Único</v>
      </c>
      <c r="P6" s="18" t="s">
        <v>61</v>
      </c>
      <c r="Q6" s="18"/>
      <c r="R6" s="17"/>
    </row>
    <row r="7" customFormat="false" ht="23.85" hidden="false" customHeight="false" outlineLevel="0" collapsed="false">
      <c r="A7" s="17" t="s">
        <v>51</v>
      </c>
      <c r="B7" s="17" t="s">
        <v>52</v>
      </c>
      <c r="C7" s="17" t="s">
        <v>69</v>
      </c>
      <c r="D7" s="18" t="s">
        <v>70</v>
      </c>
      <c r="E7" s="17" t="s">
        <v>65</v>
      </c>
      <c r="F7" s="19" t="n">
        <v>0</v>
      </c>
      <c r="G7" s="20" t="s">
        <v>55</v>
      </c>
      <c r="H7" s="20" t="s">
        <v>71</v>
      </c>
      <c r="I7" s="20" t="s">
        <v>57</v>
      </c>
      <c r="J7" s="20" t="s">
        <v>58</v>
      </c>
      <c r="K7" s="21" t="str">
        <f aca="false">IF(OR(G7="",H7="",I7=""),"",G7&amp;H7&amp;I7&amp;J7)</f>
        <v>GL103C1TR</v>
      </c>
      <c r="L7" s="18" t="s">
        <v>72</v>
      </c>
      <c r="M7" s="18" t="s">
        <v>73</v>
      </c>
      <c r="N7" s="22" t="s">
        <v>6</v>
      </c>
      <c r="O7" s="17" t="str">
        <f aca="false">IF(K7="","",IF(COUNTIF($K$5:$K$327,K7)&gt;1,"DUPLICADO","Único"))</f>
        <v>Único</v>
      </c>
      <c r="P7" s="18" t="s">
        <v>61</v>
      </c>
      <c r="Q7" s="18"/>
      <c r="R7" s="17"/>
    </row>
    <row r="8" customFormat="false" ht="23.85" hidden="false" customHeight="false" outlineLevel="0" collapsed="false">
      <c r="A8" s="17" t="s">
        <v>51</v>
      </c>
      <c r="B8" s="17" t="s">
        <v>52</v>
      </c>
      <c r="C8" s="17" t="s">
        <v>74</v>
      </c>
      <c r="D8" s="18" t="s">
        <v>75</v>
      </c>
      <c r="E8" s="17" t="s">
        <v>65</v>
      </c>
      <c r="F8" s="19" t="n">
        <v>125</v>
      </c>
      <c r="G8" s="20" t="s">
        <v>55</v>
      </c>
      <c r="H8" s="20" t="s">
        <v>76</v>
      </c>
      <c r="I8" s="20" t="s">
        <v>57</v>
      </c>
      <c r="J8" s="20" t="s">
        <v>58</v>
      </c>
      <c r="K8" s="21" t="str">
        <f aca="false">IF(OR(G8="",H8="",I8=""),"",G8&amp;H8&amp;I8&amp;J8)</f>
        <v>GL105C1TR</v>
      </c>
      <c r="L8" s="18" t="s">
        <v>77</v>
      </c>
      <c r="M8" s="18" t="s">
        <v>78</v>
      </c>
      <c r="N8" s="22" t="s">
        <v>6</v>
      </c>
      <c r="O8" s="17" t="str">
        <f aca="false">IF(K8="","",IF(COUNTIF($K$5:$K$327,K8)&gt;1,"DUPLICADO","Único"))</f>
        <v>Único</v>
      </c>
      <c r="P8" s="18" t="s">
        <v>61</v>
      </c>
      <c r="Q8" s="18"/>
      <c r="R8" s="17"/>
    </row>
    <row r="9" customFormat="false" ht="23.85" hidden="false" customHeight="false" outlineLevel="0" collapsed="false">
      <c r="A9" s="17" t="s">
        <v>51</v>
      </c>
      <c r="B9" s="17" t="s">
        <v>52</v>
      </c>
      <c r="C9" s="17" t="s">
        <v>79</v>
      </c>
      <c r="D9" s="18" t="s">
        <v>80</v>
      </c>
      <c r="E9" s="17" t="s">
        <v>65</v>
      </c>
      <c r="F9" s="19" t="n">
        <v>51</v>
      </c>
      <c r="G9" s="20" t="s">
        <v>55</v>
      </c>
      <c r="H9" s="20" t="s">
        <v>81</v>
      </c>
      <c r="I9" s="20" t="s">
        <v>57</v>
      </c>
      <c r="J9" s="20" t="s">
        <v>58</v>
      </c>
      <c r="K9" s="21" t="str">
        <f aca="false">IF(OR(G9="",H9="",I9=""),"",G9&amp;H9&amp;I9&amp;J9)</f>
        <v>GL107C1TR</v>
      </c>
      <c r="L9" s="18" t="s">
        <v>82</v>
      </c>
      <c r="M9" s="18" t="s">
        <v>83</v>
      </c>
      <c r="N9" s="22" t="s">
        <v>6</v>
      </c>
      <c r="O9" s="17" t="str">
        <f aca="false">IF(K9="","",IF(COUNTIF($K$5:$K$327,K9)&gt;1,"DUPLICADO","Único"))</f>
        <v>Único</v>
      </c>
      <c r="P9" s="18" t="s">
        <v>61</v>
      </c>
      <c r="Q9" s="18"/>
      <c r="R9" s="17"/>
    </row>
    <row r="10" customFormat="false" ht="23.85" hidden="false" customHeight="false" outlineLevel="0" collapsed="false">
      <c r="A10" s="17" t="s">
        <v>51</v>
      </c>
      <c r="B10" s="17" t="s">
        <v>52</v>
      </c>
      <c r="C10" s="17" t="s">
        <v>84</v>
      </c>
      <c r="D10" s="18" t="s">
        <v>85</v>
      </c>
      <c r="E10" s="17" t="s">
        <v>65</v>
      </c>
      <c r="F10" s="19" t="n">
        <v>185</v>
      </c>
      <c r="G10" s="20" t="s">
        <v>55</v>
      </c>
      <c r="H10" s="20" t="s">
        <v>86</v>
      </c>
      <c r="I10" s="20" t="s">
        <v>57</v>
      </c>
      <c r="J10" s="20" t="s">
        <v>58</v>
      </c>
      <c r="K10" s="21" t="str">
        <f aca="false">IF(OR(G10="",H10="",I10=""),"",G10&amp;H10&amp;I10&amp;J10)</f>
        <v>GL110C1TR</v>
      </c>
      <c r="L10" s="18" t="s">
        <v>87</v>
      </c>
      <c r="M10" s="18" t="s">
        <v>88</v>
      </c>
      <c r="N10" s="22" t="s">
        <v>6</v>
      </c>
      <c r="O10" s="17" t="str">
        <f aca="false">IF(K10="","",IF(COUNTIF($K$5:$K$327,K10)&gt;1,"DUPLICADO","Único"))</f>
        <v>Único</v>
      </c>
      <c r="P10" s="18" t="s">
        <v>61</v>
      </c>
      <c r="Q10" s="18"/>
      <c r="R10" s="17"/>
    </row>
    <row r="11" customFormat="false" ht="23.85" hidden="false" customHeight="false" outlineLevel="0" collapsed="false">
      <c r="A11" s="17" t="s">
        <v>51</v>
      </c>
      <c r="B11" s="17" t="s">
        <v>52</v>
      </c>
      <c r="C11" s="17" t="s">
        <v>89</v>
      </c>
      <c r="D11" s="18" t="s">
        <v>90</v>
      </c>
      <c r="E11" s="17" t="s">
        <v>65</v>
      </c>
      <c r="F11" s="19" t="n">
        <v>0</v>
      </c>
      <c r="G11" s="20" t="s">
        <v>55</v>
      </c>
      <c r="H11" s="20" t="s">
        <v>91</v>
      </c>
      <c r="I11" s="20" t="s">
        <v>57</v>
      </c>
      <c r="J11" s="20" t="s">
        <v>58</v>
      </c>
      <c r="K11" s="21" t="str">
        <f aca="false">IF(OR(G11="",H11="",I11=""),"",G11&amp;H11&amp;I11&amp;J11)</f>
        <v>GL111C1TR</v>
      </c>
      <c r="L11" s="18" t="s">
        <v>92</v>
      </c>
      <c r="M11" s="18" t="s">
        <v>93</v>
      </c>
      <c r="N11" s="22" t="s">
        <v>6</v>
      </c>
      <c r="O11" s="17" t="str">
        <f aca="false">IF(K11="","",IF(COUNTIF($K$5:$K$327,K11)&gt;1,"DUPLICADO","Único"))</f>
        <v>Único</v>
      </c>
      <c r="P11" s="18" t="s">
        <v>61</v>
      </c>
      <c r="Q11" s="18"/>
      <c r="R11" s="17"/>
    </row>
    <row r="12" customFormat="false" ht="23.85" hidden="false" customHeight="false" outlineLevel="0" collapsed="false">
      <c r="A12" s="17" t="s">
        <v>51</v>
      </c>
      <c r="B12" s="17" t="s">
        <v>52</v>
      </c>
      <c r="C12" s="17" t="s">
        <v>94</v>
      </c>
      <c r="D12" s="18" t="s">
        <v>95</v>
      </c>
      <c r="E12" s="17" t="s">
        <v>65</v>
      </c>
      <c r="F12" s="19" t="n">
        <v>71</v>
      </c>
      <c r="G12" s="20" t="s">
        <v>55</v>
      </c>
      <c r="H12" s="20" t="s">
        <v>96</v>
      </c>
      <c r="I12" s="20" t="s">
        <v>57</v>
      </c>
      <c r="J12" s="20" t="s">
        <v>58</v>
      </c>
      <c r="K12" s="21" t="str">
        <f aca="false">IF(OR(G12="",H12="",I12=""),"",G12&amp;H12&amp;I12&amp;J12)</f>
        <v>GL201C1TR</v>
      </c>
      <c r="L12" s="18" t="s">
        <v>97</v>
      </c>
      <c r="M12" s="18" t="s">
        <v>98</v>
      </c>
      <c r="N12" s="22" t="s">
        <v>6</v>
      </c>
      <c r="O12" s="17" t="str">
        <f aca="false">IF(K12="","",IF(COUNTIF($K$5:$K$327,K12)&gt;1,"DUPLICADO","Único"))</f>
        <v>DUPLICADO</v>
      </c>
      <c r="P12" s="18" t="s">
        <v>61</v>
      </c>
      <c r="Q12" s="18" t="s">
        <v>99</v>
      </c>
      <c r="R12" s="17"/>
    </row>
    <row r="13" customFormat="false" ht="23.85" hidden="false" customHeight="false" outlineLevel="0" collapsed="false">
      <c r="A13" s="17" t="s">
        <v>51</v>
      </c>
      <c r="B13" s="17" t="s">
        <v>52</v>
      </c>
      <c r="C13" s="17" t="s">
        <v>100</v>
      </c>
      <c r="D13" s="18" t="s">
        <v>101</v>
      </c>
      <c r="E13" s="17"/>
      <c r="F13" s="19" t="n">
        <v>0</v>
      </c>
      <c r="G13" s="20" t="s">
        <v>55</v>
      </c>
      <c r="H13" s="20" t="s">
        <v>102</v>
      </c>
      <c r="I13" s="20" t="s">
        <v>57</v>
      </c>
      <c r="J13" s="20" t="s">
        <v>58</v>
      </c>
      <c r="K13" s="21" t="str">
        <f aca="false">IF(OR(G13="",H13="",I13=""),"",G13&amp;H13&amp;I13&amp;J13)</f>
        <v>GL203C1TR</v>
      </c>
      <c r="L13" s="18" t="s">
        <v>103</v>
      </c>
      <c r="M13" s="18" t="s">
        <v>104</v>
      </c>
      <c r="N13" s="22" t="s">
        <v>6</v>
      </c>
      <c r="O13" s="17" t="str">
        <f aca="false">IF(K13="","",IF(COUNTIF($K$5:$K$327,K13)&gt;1,"DUPLICADO","Único"))</f>
        <v>Único</v>
      </c>
      <c r="P13" s="18" t="s">
        <v>61</v>
      </c>
      <c r="Q13" s="18" t="s">
        <v>105</v>
      </c>
      <c r="R13" s="17"/>
    </row>
    <row r="14" customFormat="false" ht="23.85" hidden="false" customHeight="false" outlineLevel="0" collapsed="false">
      <c r="A14" s="17" t="s">
        <v>51</v>
      </c>
      <c r="B14" s="17" t="s">
        <v>52</v>
      </c>
      <c r="C14" s="17" t="s">
        <v>106</v>
      </c>
      <c r="D14" s="18" t="s">
        <v>107</v>
      </c>
      <c r="E14" s="17" t="s">
        <v>65</v>
      </c>
      <c r="F14" s="19" t="n">
        <v>0</v>
      </c>
      <c r="G14" s="20" t="s">
        <v>55</v>
      </c>
      <c r="H14" s="20" t="s">
        <v>108</v>
      </c>
      <c r="I14" s="20" t="s">
        <v>57</v>
      </c>
      <c r="J14" s="20" t="s">
        <v>58</v>
      </c>
      <c r="K14" s="21" t="str">
        <f aca="false">IF(OR(G14="",H14="",I14=""),"",G14&amp;H14&amp;I14&amp;J14)</f>
        <v>GL200C1TR</v>
      </c>
      <c r="L14" s="18" t="s">
        <v>109</v>
      </c>
      <c r="M14" s="18" t="s">
        <v>110</v>
      </c>
      <c r="N14" s="22" t="s">
        <v>6</v>
      </c>
      <c r="O14" s="17" t="str">
        <f aca="false">IF(K14="","",IF(COUNTIF($K$5:$K$327,K14)&gt;1,"DUPLICADO","Único"))</f>
        <v>DUPLICADO</v>
      </c>
      <c r="P14" s="18" t="s">
        <v>111</v>
      </c>
      <c r="Q14" s="18" t="s">
        <v>112</v>
      </c>
      <c r="R14" s="17"/>
    </row>
    <row r="15" customFormat="false" ht="23.85" hidden="false" customHeight="false" outlineLevel="0" collapsed="false">
      <c r="A15" s="17" t="s">
        <v>51</v>
      </c>
      <c r="B15" s="17" t="s">
        <v>52</v>
      </c>
      <c r="C15" s="17" t="s">
        <v>113</v>
      </c>
      <c r="D15" s="18" t="s">
        <v>114</v>
      </c>
      <c r="E15" s="17" t="s">
        <v>65</v>
      </c>
      <c r="F15" s="19" t="n">
        <v>38</v>
      </c>
      <c r="G15" s="20" t="s">
        <v>55</v>
      </c>
      <c r="H15" s="20" t="s">
        <v>115</v>
      </c>
      <c r="I15" s="20" t="s">
        <v>57</v>
      </c>
      <c r="J15" s="20" t="s">
        <v>58</v>
      </c>
      <c r="K15" s="21" t="str">
        <f aca="false">IF(OR(G15="",H15="",I15=""),"",G15&amp;H15&amp;I15&amp;J15)</f>
        <v>GL206C1TR</v>
      </c>
      <c r="L15" s="18" t="s">
        <v>116</v>
      </c>
      <c r="M15" s="18" t="s">
        <v>117</v>
      </c>
      <c r="N15" s="22" t="s">
        <v>6</v>
      </c>
      <c r="O15" s="17" t="str">
        <f aca="false">IF(K15="","",IF(COUNTIF($K$5:$K$327,K15)&gt;1,"DUPLICADO","Único"))</f>
        <v>Único</v>
      </c>
      <c r="P15" s="18" t="s">
        <v>61</v>
      </c>
      <c r="Q15" s="18"/>
      <c r="R15" s="17"/>
    </row>
    <row r="16" customFormat="false" ht="23.85" hidden="false" customHeight="false" outlineLevel="0" collapsed="false">
      <c r="A16" s="17" t="s">
        <v>51</v>
      </c>
      <c r="B16" s="17" t="s">
        <v>52</v>
      </c>
      <c r="C16" s="17" t="s">
        <v>118</v>
      </c>
      <c r="D16" s="18" t="s">
        <v>119</v>
      </c>
      <c r="E16" s="17" t="s">
        <v>65</v>
      </c>
      <c r="F16" s="19" t="n">
        <v>0</v>
      </c>
      <c r="G16" s="20" t="s">
        <v>55</v>
      </c>
      <c r="H16" s="20" t="s">
        <v>120</v>
      </c>
      <c r="I16" s="20" t="s">
        <v>57</v>
      </c>
      <c r="J16" s="20" t="s">
        <v>58</v>
      </c>
      <c r="K16" s="21" t="str">
        <f aca="false">IF(OR(G16="",H16="",I16=""),"",G16&amp;H16&amp;I16&amp;J16)</f>
        <v>GL118C1TR</v>
      </c>
      <c r="L16" s="18" t="s">
        <v>121</v>
      </c>
      <c r="M16" s="18" t="s">
        <v>122</v>
      </c>
      <c r="N16" s="22" t="s">
        <v>6</v>
      </c>
      <c r="O16" s="17" t="str">
        <f aca="false">IF(K16="","",IF(COUNTIF($K$5:$K$327,K16)&gt;1,"DUPLICADO","Único"))</f>
        <v>Único</v>
      </c>
      <c r="P16" s="18" t="s">
        <v>61</v>
      </c>
      <c r="Q16" s="18"/>
      <c r="R16" s="17"/>
    </row>
    <row r="17" customFormat="false" ht="23.85" hidden="false" customHeight="false" outlineLevel="0" collapsed="false">
      <c r="A17" s="17" t="s">
        <v>51</v>
      </c>
      <c r="B17" s="17" t="s">
        <v>52</v>
      </c>
      <c r="C17" s="17" t="s">
        <v>123</v>
      </c>
      <c r="D17" s="18" t="s">
        <v>124</v>
      </c>
      <c r="E17" s="17" t="s">
        <v>65</v>
      </c>
      <c r="F17" s="19" t="n">
        <v>114</v>
      </c>
      <c r="G17" s="20" t="s">
        <v>55</v>
      </c>
      <c r="H17" s="20" t="s">
        <v>125</v>
      </c>
      <c r="I17" s="20" t="s">
        <v>57</v>
      </c>
      <c r="J17" s="20" t="s">
        <v>58</v>
      </c>
      <c r="K17" s="21" t="str">
        <f aca="false">IF(OR(G17="",H17="",I17=""),"",G17&amp;H17&amp;I17&amp;J17)</f>
        <v>GL120C1TR</v>
      </c>
      <c r="L17" s="18" t="s">
        <v>126</v>
      </c>
      <c r="M17" s="18" t="s">
        <v>127</v>
      </c>
      <c r="N17" s="22" t="s">
        <v>6</v>
      </c>
      <c r="O17" s="17" t="str">
        <f aca="false">IF(K17="","",IF(COUNTIF($K$5:$K$327,K17)&gt;1,"DUPLICADO","Único"))</f>
        <v>Único</v>
      </c>
      <c r="P17" s="18" t="s">
        <v>61</v>
      </c>
      <c r="Q17" s="18"/>
      <c r="R17" s="17"/>
    </row>
    <row r="18" customFormat="false" ht="23.85" hidden="false" customHeight="false" outlineLevel="0" collapsed="false">
      <c r="A18" s="17" t="s">
        <v>51</v>
      </c>
      <c r="B18" s="17" t="s">
        <v>52</v>
      </c>
      <c r="C18" s="17" t="s">
        <v>128</v>
      </c>
      <c r="D18" s="18" t="s">
        <v>129</v>
      </c>
      <c r="E18" s="17" t="s">
        <v>65</v>
      </c>
      <c r="F18" s="19" t="n">
        <v>251</v>
      </c>
      <c r="G18" s="20" t="s">
        <v>55</v>
      </c>
      <c r="H18" s="20" t="s">
        <v>130</v>
      </c>
      <c r="I18" s="20" t="s">
        <v>57</v>
      </c>
      <c r="J18" s="20" t="s">
        <v>58</v>
      </c>
      <c r="K18" s="21" t="str">
        <f aca="false">IF(OR(G18="",H18="",I18=""),"",G18&amp;H18&amp;I18&amp;J18)</f>
        <v>GL121C1TR</v>
      </c>
      <c r="L18" s="18" t="s">
        <v>131</v>
      </c>
      <c r="M18" s="18" t="s">
        <v>132</v>
      </c>
      <c r="N18" s="22" t="s">
        <v>6</v>
      </c>
      <c r="O18" s="17" t="str">
        <f aca="false">IF(K18="","",IF(COUNTIF($K$5:$K$327,K18)&gt;1,"DUPLICADO","Único"))</f>
        <v>Único</v>
      </c>
      <c r="P18" s="18" t="s">
        <v>61</v>
      </c>
      <c r="Q18" s="18"/>
      <c r="R18" s="17"/>
    </row>
    <row r="19" customFormat="false" ht="23.85" hidden="false" customHeight="false" outlineLevel="0" collapsed="false">
      <c r="A19" s="17" t="s">
        <v>51</v>
      </c>
      <c r="B19" s="17" t="s">
        <v>52</v>
      </c>
      <c r="C19" s="17" t="s">
        <v>133</v>
      </c>
      <c r="D19" s="18" t="s">
        <v>134</v>
      </c>
      <c r="E19" s="17" t="s">
        <v>65</v>
      </c>
      <c r="F19" s="19" t="n">
        <v>38</v>
      </c>
      <c r="G19" s="20" t="s">
        <v>55</v>
      </c>
      <c r="H19" s="20" t="s">
        <v>135</v>
      </c>
      <c r="I19" s="20" t="s">
        <v>57</v>
      </c>
      <c r="J19" s="20" t="s">
        <v>58</v>
      </c>
      <c r="K19" s="21" t="str">
        <f aca="false">IF(OR(G19="",H19="",I19=""),"",G19&amp;H19&amp;I19&amp;J19)</f>
        <v>GL122C1TR</v>
      </c>
      <c r="L19" s="18" t="s">
        <v>136</v>
      </c>
      <c r="M19" s="18" t="s">
        <v>137</v>
      </c>
      <c r="N19" s="22" t="s">
        <v>6</v>
      </c>
      <c r="O19" s="17" t="str">
        <f aca="false">IF(K19="","",IF(COUNTIF($K$5:$K$327,K19)&gt;1,"DUPLICADO","Único"))</f>
        <v>Único</v>
      </c>
      <c r="P19" s="18" t="s">
        <v>61</v>
      </c>
      <c r="Q19" s="18"/>
      <c r="R19" s="17"/>
    </row>
    <row r="20" customFormat="false" ht="23.85" hidden="false" customHeight="false" outlineLevel="0" collapsed="false">
      <c r="A20" s="17" t="s">
        <v>51</v>
      </c>
      <c r="B20" s="17" t="s">
        <v>52</v>
      </c>
      <c r="C20" s="17" t="s">
        <v>138</v>
      </c>
      <c r="D20" s="18" t="s">
        <v>139</v>
      </c>
      <c r="E20" s="17" t="s">
        <v>65</v>
      </c>
      <c r="F20" s="19" t="n">
        <v>0</v>
      </c>
      <c r="G20" s="20" t="s">
        <v>55</v>
      </c>
      <c r="H20" s="20" t="s">
        <v>140</v>
      </c>
      <c r="I20" s="20" t="s">
        <v>57</v>
      </c>
      <c r="J20" s="20" t="s">
        <v>58</v>
      </c>
      <c r="K20" s="21" t="str">
        <f aca="false">IF(OR(G20="",H20="",I20=""),"",G20&amp;H20&amp;I20&amp;J20)</f>
        <v>GL123C1TR</v>
      </c>
      <c r="L20" s="18" t="s">
        <v>141</v>
      </c>
      <c r="M20" s="18" t="s">
        <v>142</v>
      </c>
      <c r="N20" s="22" t="s">
        <v>6</v>
      </c>
      <c r="O20" s="17" t="str">
        <f aca="false">IF(K20="","",IF(COUNTIF($K$5:$K$327,K20)&gt;1,"DUPLICADO","Único"))</f>
        <v>Único</v>
      </c>
      <c r="P20" s="18" t="s">
        <v>61</v>
      </c>
      <c r="Q20" s="18"/>
      <c r="R20" s="17"/>
    </row>
    <row r="21" customFormat="false" ht="23.85" hidden="false" customHeight="false" outlineLevel="0" collapsed="false">
      <c r="A21" s="17" t="s">
        <v>51</v>
      </c>
      <c r="B21" s="17" t="s">
        <v>52</v>
      </c>
      <c r="C21" s="17" t="s">
        <v>143</v>
      </c>
      <c r="D21" s="18" t="s">
        <v>144</v>
      </c>
      <c r="E21" s="17" t="s">
        <v>65</v>
      </c>
      <c r="F21" s="19" t="n">
        <v>83</v>
      </c>
      <c r="G21" s="20" t="s">
        <v>55</v>
      </c>
      <c r="H21" s="20" t="s">
        <v>145</v>
      </c>
      <c r="I21" s="20" t="s">
        <v>57</v>
      </c>
      <c r="J21" s="20" t="s">
        <v>58</v>
      </c>
      <c r="K21" s="21" t="str">
        <f aca="false">IF(OR(G21="",H21="",I21=""),"",G21&amp;H21&amp;I21&amp;J21)</f>
        <v>GL124C1TR</v>
      </c>
      <c r="L21" s="18" t="s">
        <v>146</v>
      </c>
      <c r="M21" s="18" t="s">
        <v>147</v>
      </c>
      <c r="N21" s="22" t="s">
        <v>6</v>
      </c>
      <c r="O21" s="17" t="str">
        <f aca="false">IF(K21="","",IF(COUNTIF($K$5:$K$327,K21)&gt;1,"DUPLICADO","Único"))</f>
        <v>Único</v>
      </c>
      <c r="P21" s="18" t="s">
        <v>61</v>
      </c>
      <c r="Q21" s="18"/>
      <c r="R21" s="17"/>
    </row>
    <row r="22" customFormat="false" ht="23.85" hidden="false" customHeight="false" outlineLevel="0" collapsed="false">
      <c r="A22" s="17" t="s">
        <v>51</v>
      </c>
      <c r="B22" s="17" t="s">
        <v>52</v>
      </c>
      <c r="C22" s="17" t="s">
        <v>148</v>
      </c>
      <c r="D22" s="18" t="s">
        <v>149</v>
      </c>
      <c r="E22" s="17" t="s">
        <v>65</v>
      </c>
      <c r="F22" s="19" t="n">
        <v>26</v>
      </c>
      <c r="G22" s="20" t="s">
        <v>55</v>
      </c>
      <c r="H22" s="20" t="s">
        <v>150</v>
      </c>
      <c r="I22" s="20" t="s">
        <v>57</v>
      </c>
      <c r="J22" s="20" t="s">
        <v>58</v>
      </c>
      <c r="K22" s="21" t="str">
        <f aca="false">IF(OR(G22="",H22="",I22=""),"",G22&amp;H22&amp;I22&amp;J22)</f>
        <v>GL126C1TR</v>
      </c>
      <c r="L22" s="18" t="s">
        <v>151</v>
      </c>
      <c r="M22" s="18" t="s">
        <v>152</v>
      </c>
      <c r="N22" s="22" t="s">
        <v>6</v>
      </c>
      <c r="O22" s="17" t="str">
        <f aca="false">IF(K22="","",IF(COUNTIF($K$5:$K$327,K22)&gt;1,"DUPLICADO","Único"))</f>
        <v>Único</v>
      </c>
      <c r="P22" s="18" t="s">
        <v>61</v>
      </c>
      <c r="Q22" s="18"/>
      <c r="R22" s="17"/>
    </row>
    <row r="23" customFormat="false" ht="23.85" hidden="false" customHeight="false" outlineLevel="0" collapsed="false">
      <c r="A23" s="17" t="s">
        <v>51</v>
      </c>
      <c r="B23" s="17" t="s">
        <v>52</v>
      </c>
      <c r="C23" s="17" t="s">
        <v>153</v>
      </c>
      <c r="D23" s="18" t="s">
        <v>154</v>
      </c>
      <c r="E23" s="17" t="s">
        <v>155</v>
      </c>
      <c r="F23" s="19" t="n">
        <v>0</v>
      </c>
      <c r="G23" s="20" t="s">
        <v>55</v>
      </c>
      <c r="H23" s="20" t="s">
        <v>156</v>
      </c>
      <c r="I23" s="20" t="s">
        <v>57</v>
      </c>
      <c r="J23" s="20" t="s">
        <v>58</v>
      </c>
      <c r="K23" s="21" t="str">
        <f aca="false">IF(OR(G23="",H23="",I23=""),"",G23&amp;H23&amp;I23&amp;J23)</f>
        <v>GL127C1TR</v>
      </c>
      <c r="L23" s="18" t="s">
        <v>157</v>
      </c>
      <c r="M23" s="18" t="s">
        <v>158</v>
      </c>
      <c r="N23" s="22" t="s">
        <v>6</v>
      </c>
      <c r="O23" s="17" t="str">
        <f aca="false">IF(K23="","",IF(COUNTIF($K$5:$K$327,K23)&gt;1,"DUPLICADO","Único"))</f>
        <v>Único</v>
      </c>
      <c r="P23" s="18" t="s">
        <v>61</v>
      </c>
      <c r="Q23" s="18" t="s">
        <v>159</v>
      </c>
      <c r="R23" s="17"/>
    </row>
    <row r="24" customFormat="false" ht="23.85" hidden="false" customHeight="false" outlineLevel="0" collapsed="false">
      <c r="A24" s="17" t="s">
        <v>51</v>
      </c>
      <c r="B24" s="17" t="s">
        <v>52</v>
      </c>
      <c r="C24" s="17" t="s">
        <v>160</v>
      </c>
      <c r="D24" s="18" t="s">
        <v>161</v>
      </c>
      <c r="E24" s="17" t="s">
        <v>65</v>
      </c>
      <c r="F24" s="19" t="n">
        <v>65</v>
      </c>
      <c r="G24" s="20" t="s">
        <v>55</v>
      </c>
      <c r="H24" s="20" t="s">
        <v>162</v>
      </c>
      <c r="I24" s="20" t="s">
        <v>57</v>
      </c>
      <c r="J24" s="20" t="s">
        <v>58</v>
      </c>
      <c r="K24" s="21" t="str">
        <f aca="false">IF(OR(G24="",H24="",I24=""),"",G24&amp;H24&amp;I24&amp;J24)</f>
        <v>GL128C1TR</v>
      </c>
      <c r="L24" s="18" t="s">
        <v>163</v>
      </c>
      <c r="M24" s="18" t="s">
        <v>164</v>
      </c>
      <c r="N24" s="22" t="s">
        <v>6</v>
      </c>
      <c r="O24" s="17" t="str">
        <f aca="false">IF(K24="","",IF(COUNTIF($K$5:$K$327,K24)&gt;1,"DUPLICADO","Único"))</f>
        <v>Único</v>
      </c>
      <c r="P24" s="18" t="s">
        <v>61</v>
      </c>
      <c r="Q24" s="18"/>
      <c r="R24" s="17"/>
    </row>
    <row r="25" customFormat="false" ht="23.85" hidden="false" customHeight="false" outlineLevel="0" collapsed="false">
      <c r="A25" s="17" t="s">
        <v>51</v>
      </c>
      <c r="B25" s="17" t="s">
        <v>52</v>
      </c>
      <c r="C25" s="17" t="s">
        <v>165</v>
      </c>
      <c r="D25" s="18" t="s">
        <v>166</v>
      </c>
      <c r="E25" s="17" t="s">
        <v>155</v>
      </c>
      <c r="F25" s="19" t="n">
        <v>100</v>
      </c>
      <c r="G25" s="20" t="s">
        <v>55</v>
      </c>
      <c r="H25" s="20" t="s">
        <v>167</v>
      </c>
      <c r="I25" s="20" t="s">
        <v>57</v>
      </c>
      <c r="J25" s="20" t="s">
        <v>58</v>
      </c>
      <c r="K25" s="21" t="str">
        <f aca="false">IF(OR(G25="",H25="",I25=""),"",G25&amp;H25&amp;I25&amp;J25)</f>
        <v>GL113C1TR</v>
      </c>
      <c r="L25" s="18" t="s">
        <v>168</v>
      </c>
      <c r="M25" s="18" t="s">
        <v>169</v>
      </c>
      <c r="N25" s="22" t="s">
        <v>6</v>
      </c>
      <c r="O25" s="17" t="str">
        <f aca="false">IF(K25="","",IF(COUNTIF($K$5:$K$327,K25)&gt;1,"DUPLICADO","Único"))</f>
        <v>Único</v>
      </c>
      <c r="P25" s="18" t="s">
        <v>61</v>
      </c>
      <c r="Q25" s="18" t="s">
        <v>159</v>
      </c>
      <c r="R25" s="17"/>
    </row>
    <row r="26" customFormat="false" ht="35.05" hidden="false" customHeight="false" outlineLevel="0" collapsed="false">
      <c r="A26" s="17" t="s">
        <v>51</v>
      </c>
      <c r="B26" s="17" t="s">
        <v>52</v>
      </c>
      <c r="C26" s="17" t="s">
        <v>170</v>
      </c>
      <c r="D26" s="18" t="s">
        <v>171</v>
      </c>
      <c r="E26" s="17" t="s">
        <v>172</v>
      </c>
      <c r="F26" s="19" t="n">
        <v>23</v>
      </c>
      <c r="G26" s="20" t="s">
        <v>173</v>
      </c>
      <c r="H26" s="20" t="s">
        <v>174</v>
      </c>
      <c r="I26" s="20" t="s">
        <v>175</v>
      </c>
      <c r="J26" s="20" t="s">
        <v>58</v>
      </c>
      <c r="K26" s="21" t="str">
        <f aca="false">IF(OR(G26="",H26="",I26=""),"",G26&amp;H26&amp;I26&amp;J26)</f>
        <v>PC207XXTR</v>
      </c>
      <c r="L26" s="18" t="s">
        <v>176</v>
      </c>
      <c r="M26" s="18" t="s">
        <v>177</v>
      </c>
      <c r="N26" s="23" t="s">
        <v>7</v>
      </c>
      <c r="O26" s="17" t="str">
        <f aca="false">IF(K26="","",IF(COUNTIF($K$5:$K$327,K26)&gt;1,"DUPLICADO","Único"))</f>
        <v>Único</v>
      </c>
      <c r="P26" s="18" t="s">
        <v>178</v>
      </c>
      <c r="Q26" s="18" t="s">
        <v>179</v>
      </c>
      <c r="R26" s="17"/>
    </row>
    <row r="27" customFormat="false" ht="35.05" hidden="false" customHeight="false" outlineLevel="0" collapsed="false">
      <c r="A27" s="17" t="s">
        <v>51</v>
      </c>
      <c r="B27" s="17" t="s">
        <v>52</v>
      </c>
      <c r="C27" s="17" t="s">
        <v>180</v>
      </c>
      <c r="D27" s="18" t="s">
        <v>181</v>
      </c>
      <c r="E27" s="17"/>
      <c r="F27" s="19" t="n">
        <v>0</v>
      </c>
      <c r="G27" s="20" t="s">
        <v>173</v>
      </c>
      <c r="H27" s="20" t="s">
        <v>102</v>
      </c>
      <c r="I27" s="20" t="s">
        <v>175</v>
      </c>
      <c r="J27" s="20" t="s">
        <v>58</v>
      </c>
      <c r="K27" s="21" t="str">
        <f aca="false">IF(OR(G27="",H27="",I27=""),"",G27&amp;H27&amp;I27&amp;J27)</f>
        <v>PC203XXTR</v>
      </c>
      <c r="L27" s="18" t="s">
        <v>182</v>
      </c>
      <c r="M27" s="18" t="s">
        <v>183</v>
      </c>
      <c r="N27" s="23" t="s">
        <v>7</v>
      </c>
      <c r="O27" s="17" t="str">
        <f aca="false">IF(K27="","",IF(COUNTIF($K$5:$K$327,K27)&gt;1,"DUPLICADO","Único"))</f>
        <v>Único</v>
      </c>
      <c r="P27" s="18" t="s">
        <v>184</v>
      </c>
      <c r="Q27" s="18" t="s">
        <v>179</v>
      </c>
      <c r="R27" s="17"/>
    </row>
    <row r="28" customFormat="false" ht="35.05" hidden="false" customHeight="false" outlineLevel="0" collapsed="false">
      <c r="A28" s="17" t="s">
        <v>51</v>
      </c>
      <c r="B28" s="17" t="s">
        <v>52</v>
      </c>
      <c r="C28" s="17" t="s">
        <v>185</v>
      </c>
      <c r="D28" s="18" t="s">
        <v>186</v>
      </c>
      <c r="E28" s="17" t="s">
        <v>172</v>
      </c>
      <c r="F28" s="19" t="n">
        <v>31</v>
      </c>
      <c r="G28" s="20" t="s">
        <v>173</v>
      </c>
      <c r="H28" s="20" t="s">
        <v>187</v>
      </c>
      <c r="I28" s="20" t="s">
        <v>175</v>
      </c>
      <c r="J28" s="20" t="s">
        <v>58</v>
      </c>
      <c r="K28" s="21" t="str">
        <f aca="false">IF(OR(G28="",H28="",I28=""),"",G28&amp;H28&amp;I28&amp;J28)</f>
        <v>PC204XXTR</v>
      </c>
      <c r="L28" s="18" t="s">
        <v>188</v>
      </c>
      <c r="M28" s="18" t="s">
        <v>189</v>
      </c>
      <c r="N28" s="23" t="s">
        <v>7</v>
      </c>
      <c r="O28" s="17" t="str">
        <f aca="false">IF(K28="","",IF(COUNTIF($K$5:$K$327,K28)&gt;1,"DUPLICADO","Único"))</f>
        <v>Único</v>
      </c>
      <c r="P28" s="18" t="s">
        <v>178</v>
      </c>
      <c r="Q28" s="18" t="s">
        <v>179</v>
      </c>
      <c r="R28" s="17"/>
    </row>
    <row r="29" customFormat="false" ht="35.05" hidden="false" customHeight="false" outlineLevel="0" collapsed="false">
      <c r="A29" s="17" t="s">
        <v>51</v>
      </c>
      <c r="B29" s="17" t="s">
        <v>52</v>
      </c>
      <c r="C29" s="17" t="s">
        <v>190</v>
      </c>
      <c r="D29" s="18" t="s">
        <v>191</v>
      </c>
      <c r="E29" s="17" t="s">
        <v>172</v>
      </c>
      <c r="F29" s="19" t="n">
        <v>0</v>
      </c>
      <c r="G29" s="20" t="s">
        <v>173</v>
      </c>
      <c r="H29" s="20" t="s">
        <v>108</v>
      </c>
      <c r="I29" s="20" t="s">
        <v>175</v>
      </c>
      <c r="J29" s="20" t="s">
        <v>58</v>
      </c>
      <c r="K29" s="21" t="str">
        <f aca="false">IF(OR(G29="",H29="",I29=""),"",G29&amp;H29&amp;I29&amp;J29)</f>
        <v>PC200XXTR</v>
      </c>
      <c r="L29" s="18" t="s">
        <v>192</v>
      </c>
      <c r="M29" s="18" t="s">
        <v>193</v>
      </c>
      <c r="N29" s="23" t="s">
        <v>7</v>
      </c>
      <c r="O29" s="17" t="str">
        <f aca="false">IF(K29="","",IF(COUNTIF($K$5:$K$327,K29)&gt;1,"DUPLICADO","Único"))</f>
        <v>Único</v>
      </c>
      <c r="P29" s="18" t="s">
        <v>184</v>
      </c>
      <c r="Q29" s="18" t="s">
        <v>179</v>
      </c>
      <c r="R29" s="17"/>
    </row>
    <row r="30" customFormat="false" ht="35.05" hidden="false" customHeight="false" outlineLevel="0" collapsed="false">
      <c r="A30" s="17" t="s">
        <v>51</v>
      </c>
      <c r="B30" s="17" t="s">
        <v>52</v>
      </c>
      <c r="C30" s="17" t="s">
        <v>194</v>
      </c>
      <c r="D30" s="18" t="s">
        <v>195</v>
      </c>
      <c r="E30" s="17" t="s">
        <v>172</v>
      </c>
      <c r="F30" s="19" t="n">
        <v>12</v>
      </c>
      <c r="G30" s="20" t="s">
        <v>173</v>
      </c>
      <c r="H30" s="20" t="s">
        <v>115</v>
      </c>
      <c r="I30" s="20" t="s">
        <v>175</v>
      </c>
      <c r="J30" s="20" t="s">
        <v>58</v>
      </c>
      <c r="K30" s="21" t="str">
        <f aca="false">IF(OR(G30="",H30="",I30=""),"",G30&amp;H30&amp;I30&amp;J30)</f>
        <v>PC206XXTR</v>
      </c>
      <c r="L30" s="18" t="s">
        <v>196</v>
      </c>
      <c r="M30" s="18" t="s">
        <v>197</v>
      </c>
      <c r="N30" s="23" t="s">
        <v>7</v>
      </c>
      <c r="O30" s="17" t="str">
        <f aca="false">IF(K30="","",IF(COUNTIF($K$5:$K$327,K30)&gt;1,"DUPLICADO","Único"))</f>
        <v>Único</v>
      </c>
      <c r="P30" s="18" t="s">
        <v>178</v>
      </c>
      <c r="Q30" s="18" t="s">
        <v>179</v>
      </c>
      <c r="R30" s="17"/>
    </row>
    <row r="31" customFormat="false" ht="35.05" hidden="false" customHeight="false" outlineLevel="0" collapsed="false">
      <c r="A31" s="17" t="s">
        <v>51</v>
      </c>
      <c r="B31" s="17" t="s">
        <v>52</v>
      </c>
      <c r="C31" s="17" t="s">
        <v>198</v>
      </c>
      <c r="D31" s="18" t="s">
        <v>199</v>
      </c>
      <c r="E31" s="17" t="s">
        <v>200</v>
      </c>
      <c r="F31" s="19" t="n">
        <v>0</v>
      </c>
      <c r="G31" s="20" t="s">
        <v>173</v>
      </c>
      <c r="H31" s="20" t="s">
        <v>96</v>
      </c>
      <c r="I31" s="20" t="s">
        <v>175</v>
      </c>
      <c r="J31" s="20" t="s">
        <v>58</v>
      </c>
      <c r="K31" s="21" t="str">
        <f aca="false">IF(OR(G31="",H31="",I31=""),"",G31&amp;H31&amp;I31&amp;J31)</f>
        <v>PC201XXTR</v>
      </c>
      <c r="L31" s="18" t="s">
        <v>201</v>
      </c>
      <c r="M31" s="18" t="s">
        <v>202</v>
      </c>
      <c r="N31" s="23" t="s">
        <v>7</v>
      </c>
      <c r="O31" s="17" t="str">
        <f aca="false">IF(K31="","",IF(COUNTIF($K$5:$K$327,K31)&gt;1,"DUPLICADO","Único"))</f>
        <v>Único</v>
      </c>
      <c r="P31" s="18" t="s">
        <v>184</v>
      </c>
      <c r="Q31" s="18" t="s">
        <v>179</v>
      </c>
      <c r="R31" s="17"/>
    </row>
    <row r="32" customFormat="false" ht="35.05" hidden="false" customHeight="false" outlineLevel="0" collapsed="false">
      <c r="A32" s="17" t="s">
        <v>51</v>
      </c>
      <c r="B32" s="17" t="s">
        <v>52</v>
      </c>
      <c r="C32" s="17" t="s">
        <v>203</v>
      </c>
      <c r="D32" s="18" t="s">
        <v>204</v>
      </c>
      <c r="E32" s="17" t="s">
        <v>172</v>
      </c>
      <c r="F32" s="19" t="n">
        <v>6</v>
      </c>
      <c r="G32" s="20" t="s">
        <v>173</v>
      </c>
      <c r="H32" s="20" t="s">
        <v>205</v>
      </c>
      <c r="I32" s="20" t="s">
        <v>175</v>
      </c>
      <c r="J32" s="20" t="s">
        <v>58</v>
      </c>
      <c r="K32" s="21" t="str">
        <f aca="false">IF(OR(G32="",H32="",I32=""),"",G32&amp;H32&amp;I32&amp;J32)</f>
        <v>PC205XXTR</v>
      </c>
      <c r="L32" s="18" t="s">
        <v>206</v>
      </c>
      <c r="M32" s="18" t="s">
        <v>207</v>
      </c>
      <c r="N32" s="23" t="s">
        <v>7</v>
      </c>
      <c r="O32" s="17" t="str">
        <f aca="false">IF(K32="","",IF(COUNTIF($K$5:$K$327,K32)&gt;1,"DUPLICADO","Único"))</f>
        <v>Único</v>
      </c>
      <c r="P32" s="18" t="s">
        <v>178</v>
      </c>
      <c r="Q32" s="18" t="s">
        <v>179</v>
      </c>
      <c r="R32" s="17"/>
    </row>
    <row r="33" customFormat="false" ht="35.05" hidden="false" customHeight="false" outlineLevel="0" collapsed="false">
      <c r="A33" s="17" t="s">
        <v>51</v>
      </c>
      <c r="B33" s="17" t="s">
        <v>52</v>
      </c>
      <c r="C33" s="17" t="s">
        <v>208</v>
      </c>
      <c r="D33" s="18" t="s">
        <v>209</v>
      </c>
      <c r="E33" s="17"/>
      <c r="F33" s="19" t="n">
        <v>0</v>
      </c>
      <c r="G33" s="20" t="s">
        <v>173</v>
      </c>
      <c r="H33" s="20" t="s">
        <v>210</v>
      </c>
      <c r="I33" s="20" t="s">
        <v>175</v>
      </c>
      <c r="J33" s="20" t="s">
        <v>58</v>
      </c>
      <c r="K33" s="21" t="str">
        <f aca="false">IF(OR(G33="",H33="",I33=""),"",G33&amp;H33&amp;I33&amp;J33)</f>
        <v>PC301XXTR</v>
      </c>
      <c r="L33" s="18" t="s">
        <v>211</v>
      </c>
      <c r="M33" s="18" t="s">
        <v>212</v>
      </c>
      <c r="N33" s="23" t="s">
        <v>7</v>
      </c>
      <c r="O33" s="17" t="str">
        <f aca="false">IF(K33="","",IF(COUNTIF($K$5:$K$327,K33)&gt;1,"DUPLICADO","Único"))</f>
        <v>Único</v>
      </c>
      <c r="P33" s="18" t="s">
        <v>213</v>
      </c>
      <c r="Q33" s="18" t="s">
        <v>179</v>
      </c>
      <c r="R33" s="17"/>
    </row>
    <row r="34" customFormat="false" ht="35.05" hidden="false" customHeight="false" outlineLevel="0" collapsed="false">
      <c r="A34" s="17" t="s">
        <v>51</v>
      </c>
      <c r="B34" s="17" t="s">
        <v>52</v>
      </c>
      <c r="C34" s="17" t="s">
        <v>214</v>
      </c>
      <c r="D34" s="18" t="s">
        <v>215</v>
      </c>
      <c r="E34" s="17" t="s">
        <v>172</v>
      </c>
      <c r="F34" s="19" t="n">
        <v>73</v>
      </c>
      <c r="G34" s="20" t="s">
        <v>173</v>
      </c>
      <c r="H34" s="20" t="s">
        <v>76</v>
      </c>
      <c r="I34" s="20" t="s">
        <v>175</v>
      </c>
      <c r="J34" s="20" t="s">
        <v>58</v>
      </c>
      <c r="K34" s="21" t="str">
        <f aca="false">IF(OR(G34="",H34="",I34=""),"",G34&amp;H34&amp;I34&amp;J34)</f>
        <v>PC105XXTR</v>
      </c>
      <c r="L34" s="18" t="s">
        <v>216</v>
      </c>
      <c r="M34" s="18" t="s">
        <v>217</v>
      </c>
      <c r="N34" s="23" t="s">
        <v>7</v>
      </c>
      <c r="O34" s="17" t="str">
        <f aca="false">IF(K34="","",IF(COUNTIF($K$5:$K$327,K34)&gt;1,"DUPLICADO","Único"))</f>
        <v>Único</v>
      </c>
      <c r="P34" s="18" t="s">
        <v>178</v>
      </c>
      <c r="Q34" s="18" t="s">
        <v>179</v>
      </c>
      <c r="R34" s="17"/>
    </row>
    <row r="35" customFormat="false" ht="35.05" hidden="false" customHeight="false" outlineLevel="0" collapsed="false">
      <c r="A35" s="17" t="s">
        <v>51</v>
      </c>
      <c r="B35" s="17" t="s">
        <v>52</v>
      </c>
      <c r="C35" s="17" t="s">
        <v>218</v>
      </c>
      <c r="D35" s="18" t="s">
        <v>219</v>
      </c>
      <c r="E35" s="17" t="s">
        <v>172</v>
      </c>
      <c r="F35" s="19" t="n">
        <v>13</v>
      </c>
      <c r="G35" s="20" t="s">
        <v>173</v>
      </c>
      <c r="H35" s="20" t="s">
        <v>220</v>
      </c>
      <c r="I35" s="20" t="s">
        <v>175</v>
      </c>
      <c r="J35" s="20" t="s">
        <v>58</v>
      </c>
      <c r="K35" s="21" t="str">
        <f aca="false">IF(OR(G35="",H35="",I35=""),"",G35&amp;H35&amp;I35&amp;J35)</f>
        <v>PC100XXTR</v>
      </c>
      <c r="L35" s="18" t="s">
        <v>221</v>
      </c>
      <c r="M35" s="18" t="s">
        <v>222</v>
      </c>
      <c r="N35" s="23" t="s">
        <v>7</v>
      </c>
      <c r="O35" s="17" t="str">
        <f aca="false">IF(K35="","",IF(COUNTIF($K$5:$K$327,K35)&gt;1,"DUPLICADO","Único"))</f>
        <v>Único</v>
      </c>
      <c r="P35" s="18" t="s">
        <v>184</v>
      </c>
      <c r="Q35" s="18" t="s">
        <v>179</v>
      </c>
      <c r="R35" s="17"/>
    </row>
    <row r="36" customFormat="false" ht="35.05" hidden="false" customHeight="false" outlineLevel="0" collapsed="false">
      <c r="A36" s="17" t="s">
        <v>51</v>
      </c>
      <c r="B36" s="17" t="s">
        <v>52</v>
      </c>
      <c r="C36" s="17" t="s">
        <v>223</v>
      </c>
      <c r="D36" s="18" t="s">
        <v>224</v>
      </c>
      <c r="E36" s="17" t="s">
        <v>172</v>
      </c>
      <c r="F36" s="19" t="n">
        <v>19</v>
      </c>
      <c r="G36" s="20" t="s">
        <v>173</v>
      </c>
      <c r="H36" s="20" t="s">
        <v>225</v>
      </c>
      <c r="I36" s="20" t="s">
        <v>175</v>
      </c>
      <c r="J36" s="20" t="s">
        <v>58</v>
      </c>
      <c r="K36" s="21" t="str">
        <f aca="false">IF(OR(G36="",H36="",I36=""),"",G36&amp;H36&amp;I36&amp;J36)</f>
        <v>PC101XXTR</v>
      </c>
      <c r="L36" s="18" t="s">
        <v>226</v>
      </c>
      <c r="M36" s="18" t="s">
        <v>227</v>
      </c>
      <c r="N36" s="23" t="s">
        <v>7</v>
      </c>
      <c r="O36" s="17" t="str">
        <f aca="false">IF(K36="","",IF(COUNTIF($K$5:$K$327,K36)&gt;1,"DUPLICADO","Único"))</f>
        <v>Único</v>
      </c>
      <c r="P36" s="18" t="s">
        <v>184</v>
      </c>
      <c r="Q36" s="18" t="s">
        <v>179</v>
      </c>
      <c r="R36" s="17"/>
    </row>
    <row r="37" customFormat="false" ht="46.25" hidden="false" customHeight="false" outlineLevel="0" collapsed="false">
      <c r="A37" s="17" t="s">
        <v>51</v>
      </c>
      <c r="B37" s="17" t="s">
        <v>52</v>
      </c>
      <c r="C37" s="17" t="s">
        <v>228</v>
      </c>
      <c r="D37" s="18" t="s">
        <v>229</v>
      </c>
      <c r="E37" s="17" t="s">
        <v>172</v>
      </c>
      <c r="F37" s="19" t="n">
        <v>0</v>
      </c>
      <c r="G37" s="20" t="s">
        <v>173</v>
      </c>
      <c r="H37" s="20" t="s">
        <v>230</v>
      </c>
      <c r="I37" s="20" t="s">
        <v>175</v>
      </c>
      <c r="J37" s="20" t="s">
        <v>58</v>
      </c>
      <c r="K37" s="21" t="str">
        <f aca="false">IF(OR(G37="",H37="",I37=""),"",G37&amp;H37&amp;I37&amp;J37)</f>
        <v>PC404XXTR</v>
      </c>
      <c r="L37" s="18" t="s">
        <v>231</v>
      </c>
      <c r="M37" s="18" t="s">
        <v>232</v>
      </c>
      <c r="N37" s="23" t="s">
        <v>7</v>
      </c>
      <c r="O37" s="17" t="str">
        <f aca="false">IF(K37="","",IF(COUNTIF($K$5:$K$327,K37)&gt;1,"DUPLICADO","Único"))</f>
        <v>Único</v>
      </c>
      <c r="P37" s="18" t="s">
        <v>184</v>
      </c>
      <c r="Q37" s="18" t="s">
        <v>233</v>
      </c>
      <c r="R37" s="17"/>
    </row>
    <row r="38" customFormat="false" ht="35.05" hidden="false" customHeight="false" outlineLevel="0" collapsed="false">
      <c r="A38" s="17" t="s">
        <v>51</v>
      </c>
      <c r="B38" s="17" t="s">
        <v>52</v>
      </c>
      <c r="C38" s="17" t="s">
        <v>234</v>
      </c>
      <c r="D38" s="18" t="s">
        <v>235</v>
      </c>
      <c r="E38" s="17" t="s">
        <v>172</v>
      </c>
      <c r="F38" s="19" t="n">
        <v>3</v>
      </c>
      <c r="G38" s="20" t="s">
        <v>173</v>
      </c>
      <c r="H38" s="20" t="s">
        <v>236</v>
      </c>
      <c r="I38" s="20" t="s">
        <v>175</v>
      </c>
      <c r="J38" s="20" t="s">
        <v>58</v>
      </c>
      <c r="K38" s="21" t="str">
        <f aca="false">IF(OR(G38="",H38="",I38=""),"",G38&amp;H38&amp;I38&amp;J38)</f>
        <v>PC407XXTR</v>
      </c>
      <c r="L38" s="18" t="s">
        <v>237</v>
      </c>
      <c r="M38" s="18" t="s">
        <v>238</v>
      </c>
      <c r="N38" s="23" t="s">
        <v>7</v>
      </c>
      <c r="O38" s="17" t="str">
        <f aca="false">IF(K38="","",IF(COUNTIF($K$5:$K$327,K38)&gt;1,"DUPLICADO","Único"))</f>
        <v>Único</v>
      </c>
      <c r="P38" s="18" t="s">
        <v>213</v>
      </c>
      <c r="Q38" s="18" t="s">
        <v>179</v>
      </c>
      <c r="R38" s="17"/>
    </row>
    <row r="39" customFormat="false" ht="35.05" hidden="false" customHeight="false" outlineLevel="0" collapsed="false">
      <c r="A39" s="17" t="s">
        <v>51</v>
      </c>
      <c r="B39" s="17" t="s">
        <v>52</v>
      </c>
      <c r="C39" s="17" t="s">
        <v>239</v>
      </c>
      <c r="D39" s="18" t="s">
        <v>240</v>
      </c>
      <c r="E39" s="17" t="s">
        <v>172</v>
      </c>
      <c r="F39" s="19" t="n">
        <v>22</v>
      </c>
      <c r="G39" s="20" t="s">
        <v>173</v>
      </c>
      <c r="H39" s="20" t="s">
        <v>241</v>
      </c>
      <c r="I39" s="20" t="s">
        <v>175</v>
      </c>
      <c r="J39" s="20" t="s">
        <v>58</v>
      </c>
      <c r="K39" s="21" t="str">
        <f aca="false">IF(OR(G39="",H39="",I39=""),"",G39&amp;H39&amp;I39&amp;J39)</f>
        <v>PC400XXTR</v>
      </c>
      <c r="L39" s="18" t="s">
        <v>242</v>
      </c>
      <c r="M39" s="18" t="s">
        <v>243</v>
      </c>
      <c r="N39" s="23" t="s">
        <v>7</v>
      </c>
      <c r="O39" s="17" t="str">
        <f aca="false">IF(K39="","",IF(COUNTIF($K$5:$K$327,K39)&gt;1,"DUPLICADO","Único"))</f>
        <v>Único</v>
      </c>
      <c r="P39" s="18" t="s">
        <v>184</v>
      </c>
      <c r="Q39" s="18" t="s">
        <v>179</v>
      </c>
      <c r="R39" s="17"/>
    </row>
    <row r="40" customFormat="false" ht="35.05" hidden="false" customHeight="false" outlineLevel="0" collapsed="false">
      <c r="A40" s="17" t="s">
        <v>51</v>
      </c>
      <c r="B40" s="17" t="s">
        <v>52</v>
      </c>
      <c r="C40" s="17" t="s">
        <v>244</v>
      </c>
      <c r="D40" s="18" t="s">
        <v>245</v>
      </c>
      <c r="E40" s="17" t="s">
        <v>172</v>
      </c>
      <c r="F40" s="19" t="n">
        <v>48</v>
      </c>
      <c r="G40" s="20" t="s">
        <v>173</v>
      </c>
      <c r="H40" s="20" t="s">
        <v>246</v>
      </c>
      <c r="I40" s="20" t="s">
        <v>175</v>
      </c>
      <c r="J40" s="20" t="s">
        <v>58</v>
      </c>
      <c r="K40" s="21" t="str">
        <f aca="false">IF(OR(G40="",H40="",I40=""),"",G40&amp;H40&amp;I40&amp;J40)</f>
        <v>PC401XXTR</v>
      </c>
      <c r="L40" s="18" t="s">
        <v>247</v>
      </c>
      <c r="M40" s="18" t="s">
        <v>248</v>
      </c>
      <c r="N40" s="23" t="s">
        <v>7</v>
      </c>
      <c r="O40" s="17" t="str">
        <f aca="false">IF(K40="","",IF(COUNTIF($K$5:$K$327,K40)&gt;1,"DUPLICADO","Único"))</f>
        <v>Único</v>
      </c>
      <c r="P40" s="18" t="s">
        <v>184</v>
      </c>
      <c r="Q40" s="18" t="s">
        <v>179</v>
      </c>
      <c r="R40" s="17"/>
    </row>
    <row r="41" customFormat="false" ht="35.05" hidden="false" customHeight="false" outlineLevel="0" collapsed="false">
      <c r="A41" s="17" t="s">
        <v>51</v>
      </c>
      <c r="B41" s="17" t="s">
        <v>52</v>
      </c>
      <c r="C41" s="17" t="s">
        <v>249</v>
      </c>
      <c r="D41" s="18" t="s">
        <v>250</v>
      </c>
      <c r="E41" s="17" t="s">
        <v>200</v>
      </c>
      <c r="F41" s="19" t="n">
        <v>0</v>
      </c>
      <c r="G41" s="20" t="s">
        <v>173</v>
      </c>
      <c r="H41" s="20" t="s">
        <v>66</v>
      </c>
      <c r="I41" s="20" t="s">
        <v>175</v>
      </c>
      <c r="J41" s="20" t="s">
        <v>58</v>
      </c>
      <c r="K41" s="21" t="str">
        <f aca="false">IF(OR(G41="",H41="",I41=""),"",G41&amp;H41&amp;I41&amp;J41)</f>
        <v>PC106XXTR</v>
      </c>
      <c r="L41" s="18" t="s">
        <v>251</v>
      </c>
      <c r="M41" s="18" t="s">
        <v>252</v>
      </c>
      <c r="N41" s="23" t="s">
        <v>7</v>
      </c>
      <c r="O41" s="17" t="str">
        <f aca="false">IF(K41="","",IF(COUNTIF($K$5:$K$327,K41)&gt;1,"DUPLICADO","Único"))</f>
        <v>Único</v>
      </c>
      <c r="P41" s="18" t="s">
        <v>213</v>
      </c>
      <c r="Q41" s="18" t="s">
        <v>179</v>
      </c>
      <c r="R41" s="17"/>
    </row>
    <row r="42" customFormat="false" ht="35.05" hidden="false" customHeight="false" outlineLevel="0" collapsed="false">
      <c r="A42" s="17" t="s">
        <v>51</v>
      </c>
      <c r="B42" s="17" t="s">
        <v>52</v>
      </c>
      <c r="C42" s="17" t="s">
        <v>253</v>
      </c>
      <c r="D42" s="18" t="s">
        <v>254</v>
      </c>
      <c r="E42" s="17" t="s">
        <v>172</v>
      </c>
      <c r="F42" s="19" t="n">
        <v>22</v>
      </c>
      <c r="G42" s="20" t="s">
        <v>173</v>
      </c>
      <c r="H42" s="20" t="s">
        <v>255</v>
      </c>
      <c r="I42" s="20" t="s">
        <v>175</v>
      </c>
      <c r="J42" s="20" t="s">
        <v>58</v>
      </c>
      <c r="K42" s="21" t="str">
        <f aca="false">IF(OR(G42="",H42="",I42=""),"",G42&amp;H42&amp;I42&amp;J42)</f>
        <v>PC300XXTR</v>
      </c>
      <c r="L42" s="18" t="s">
        <v>256</v>
      </c>
      <c r="M42" s="18" t="s">
        <v>257</v>
      </c>
      <c r="N42" s="23" t="s">
        <v>7</v>
      </c>
      <c r="O42" s="17" t="str">
        <f aca="false">IF(K42="","",IF(COUNTIF($K$5:$K$327,K42)&gt;1,"DUPLICADO","Único"))</f>
        <v>Único</v>
      </c>
      <c r="P42" s="18" t="s">
        <v>184</v>
      </c>
      <c r="Q42" s="18" t="s">
        <v>179</v>
      </c>
      <c r="R42" s="17"/>
    </row>
    <row r="43" customFormat="false" ht="35.05" hidden="false" customHeight="false" outlineLevel="0" collapsed="false">
      <c r="A43" s="17" t="s">
        <v>51</v>
      </c>
      <c r="B43" s="17" t="s">
        <v>52</v>
      </c>
      <c r="C43" s="17" t="s">
        <v>258</v>
      </c>
      <c r="D43" s="18" t="s">
        <v>259</v>
      </c>
      <c r="E43" s="17" t="s">
        <v>172</v>
      </c>
      <c r="F43" s="19" t="n">
        <v>0</v>
      </c>
      <c r="G43" s="20" t="s">
        <v>173</v>
      </c>
      <c r="H43" s="20" t="s">
        <v>81</v>
      </c>
      <c r="I43" s="20" t="s">
        <v>175</v>
      </c>
      <c r="J43" s="20" t="s">
        <v>58</v>
      </c>
      <c r="K43" s="21" t="str">
        <f aca="false">IF(OR(G43="",H43="",I43=""),"",G43&amp;H43&amp;I43&amp;J43)</f>
        <v>PC107XXTR</v>
      </c>
      <c r="L43" s="18" t="s">
        <v>260</v>
      </c>
      <c r="M43" s="18" t="s">
        <v>261</v>
      </c>
      <c r="N43" s="23" t="s">
        <v>7</v>
      </c>
      <c r="O43" s="17" t="str">
        <f aca="false">IF(K43="","",IF(COUNTIF($K$5:$K$327,K43)&gt;1,"DUPLICADO","Único"))</f>
        <v>Único</v>
      </c>
      <c r="P43" s="18" t="s">
        <v>213</v>
      </c>
      <c r="Q43" s="18" t="s">
        <v>179</v>
      </c>
      <c r="R43" s="17"/>
    </row>
    <row r="44" customFormat="false" ht="35.05" hidden="false" customHeight="false" outlineLevel="0" collapsed="false">
      <c r="A44" s="17" t="s">
        <v>51</v>
      </c>
      <c r="B44" s="17" t="s">
        <v>52</v>
      </c>
      <c r="C44" s="17" t="s">
        <v>262</v>
      </c>
      <c r="D44" s="18" t="s">
        <v>263</v>
      </c>
      <c r="E44" s="17" t="s">
        <v>172</v>
      </c>
      <c r="F44" s="19" t="n">
        <v>47</v>
      </c>
      <c r="G44" s="20" t="s">
        <v>173</v>
      </c>
      <c r="H44" s="20" t="s">
        <v>264</v>
      </c>
      <c r="I44" s="20" t="s">
        <v>175</v>
      </c>
      <c r="J44" s="20" t="s">
        <v>58</v>
      </c>
      <c r="K44" s="21" t="str">
        <f aca="false">IF(OR(G44="",H44="",I44=""),"",G44&amp;H44&amp;I44&amp;J44)</f>
        <v>PC402XXTR</v>
      </c>
      <c r="L44" s="18" t="s">
        <v>265</v>
      </c>
      <c r="M44" s="18" t="s">
        <v>266</v>
      </c>
      <c r="N44" s="23" t="s">
        <v>7</v>
      </c>
      <c r="O44" s="17" t="str">
        <f aca="false">IF(K44="","",IF(COUNTIF($K$5:$K$327,K44)&gt;1,"DUPLICADO","Único"))</f>
        <v>Único</v>
      </c>
      <c r="P44" s="18" t="s">
        <v>184</v>
      </c>
      <c r="Q44" s="18" t="s">
        <v>179</v>
      </c>
      <c r="R44" s="17"/>
    </row>
    <row r="45" customFormat="false" ht="46.25" hidden="false" customHeight="false" outlineLevel="0" collapsed="false">
      <c r="A45" s="17" t="s">
        <v>51</v>
      </c>
      <c r="B45" s="17" t="s">
        <v>52</v>
      </c>
      <c r="C45" s="17" t="s">
        <v>267</v>
      </c>
      <c r="D45" s="18" t="s">
        <v>268</v>
      </c>
      <c r="E45" s="17" t="s">
        <v>172</v>
      </c>
      <c r="F45" s="19" t="n">
        <v>38</v>
      </c>
      <c r="G45" s="20" t="s">
        <v>173</v>
      </c>
      <c r="H45" s="20" t="s">
        <v>269</v>
      </c>
      <c r="I45" s="20" t="s">
        <v>175</v>
      </c>
      <c r="J45" s="20" t="s">
        <v>58</v>
      </c>
      <c r="K45" s="21" t="str">
        <f aca="false">IF(OR(G45="",H45="",I45=""),"",G45&amp;H45&amp;I45&amp;J45)</f>
        <v>PC406XXTR</v>
      </c>
      <c r="L45" s="18" t="s">
        <v>270</v>
      </c>
      <c r="M45" s="18" t="s">
        <v>271</v>
      </c>
      <c r="N45" s="23" t="s">
        <v>7</v>
      </c>
      <c r="O45" s="17" t="str">
        <f aca="false">IF(K45="","",IF(COUNTIF($K$5:$K$327,K45)&gt;1,"DUPLICADO","Único"))</f>
        <v>Único</v>
      </c>
      <c r="P45" s="18" t="s">
        <v>213</v>
      </c>
      <c r="Q45" s="18" t="s">
        <v>272</v>
      </c>
      <c r="R45" s="17"/>
    </row>
    <row r="46" customFormat="false" ht="46.25" hidden="false" customHeight="false" outlineLevel="0" collapsed="false">
      <c r="A46" s="17" t="s">
        <v>51</v>
      </c>
      <c r="B46" s="17" t="s">
        <v>52</v>
      </c>
      <c r="C46" s="17" t="s">
        <v>273</v>
      </c>
      <c r="D46" s="18" t="s">
        <v>274</v>
      </c>
      <c r="E46" s="17" t="s">
        <v>172</v>
      </c>
      <c r="F46" s="19" t="n">
        <v>5</v>
      </c>
      <c r="G46" s="20" t="s">
        <v>173</v>
      </c>
      <c r="H46" s="20" t="s">
        <v>56</v>
      </c>
      <c r="I46" s="20" t="s">
        <v>175</v>
      </c>
      <c r="J46" s="20" t="s">
        <v>58</v>
      </c>
      <c r="K46" s="21" t="str">
        <f aca="false">IF(OR(G46="",H46="",I46=""),"",G46&amp;H46&amp;I46&amp;J46)</f>
        <v>PC102XXTR</v>
      </c>
      <c r="L46" s="18" t="s">
        <v>275</v>
      </c>
      <c r="M46" s="18" t="s">
        <v>276</v>
      </c>
      <c r="N46" s="23" t="s">
        <v>7</v>
      </c>
      <c r="O46" s="17" t="str">
        <f aca="false">IF(K46="","",IF(COUNTIF($K$5:$K$327,K46)&gt;1,"DUPLICADO","Único"))</f>
        <v>Único</v>
      </c>
      <c r="P46" s="18" t="s">
        <v>213</v>
      </c>
      <c r="Q46" s="18" t="s">
        <v>272</v>
      </c>
      <c r="R46" s="17"/>
    </row>
    <row r="47" customFormat="false" ht="46.25" hidden="false" customHeight="false" outlineLevel="0" collapsed="false">
      <c r="A47" s="17" t="s">
        <v>51</v>
      </c>
      <c r="B47" s="17" t="s">
        <v>52</v>
      </c>
      <c r="C47" s="17" t="s">
        <v>277</v>
      </c>
      <c r="D47" s="18" t="s">
        <v>278</v>
      </c>
      <c r="E47" s="17" t="s">
        <v>172</v>
      </c>
      <c r="F47" s="19" t="n">
        <v>2</v>
      </c>
      <c r="G47" s="20" t="s">
        <v>173</v>
      </c>
      <c r="H47" s="20" t="s">
        <v>279</v>
      </c>
      <c r="I47" s="20" t="s">
        <v>175</v>
      </c>
      <c r="J47" s="20" t="s">
        <v>58</v>
      </c>
      <c r="K47" s="21" t="str">
        <f aca="false">IF(OR(G47="",H47="",I47=""),"",G47&amp;H47&amp;I47&amp;J47)</f>
        <v>PC408XXTR</v>
      </c>
      <c r="L47" s="18" t="s">
        <v>280</v>
      </c>
      <c r="M47" s="18" t="s">
        <v>281</v>
      </c>
      <c r="N47" s="23" t="s">
        <v>7</v>
      </c>
      <c r="O47" s="17" t="str">
        <f aca="false">IF(K47="","",IF(COUNTIF($K$5:$K$327,K47)&gt;1,"DUPLICADO","Único"))</f>
        <v>Único</v>
      </c>
      <c r="P47" s="18" t="s">
        <v>213</v>
      </c>
      <c r="Q47" s="18" t="s">
        <v>272</v>
      </c>
      <c r="R47" s="17"/>
    </row>
    <row r="48" customFormat="false" ht="35.05" hidden="false" customHeight="false" outlineLevel="0" collapsed="false">
      <c r="A48" s="17" t="s">
        <v>51</v>
      </c>
      <c r="B48" s="17" t="s">
        <v>52</v>
      </c>
      <c r="C48" s="17" t="s">
        <v>282</v>
      </c>
      <c r="D48" s="18" t="s">
        <v>283</v>
      </c>
      <c r="E48" s="17" t="s">
        <v>155</v>
      </c>
      <c r="F48" s="19" t="n">
        <v>0</v>
      </c>
      <c r="G48" s="20" t="s">
        <v>173</v>
      </c>
      <c r="H48" s="20" t="s">
        <v>71</v>
      </c>
      <c r="I48" s="20" t="s">
        <v>175</v>
      </c>
      <c r="J48" s="20" t="s">
        <v>58</v>
      </c>
      <c r="K48" s="21" t="str">
        <f aca="false">IF(OR(G48="",H48="",I48=""),"",G48&amp;H48&amp;I48&amp;J48)</f>
        <v>PC103XXTR</v>
      </c>
      <c r="L48" s="18" t="s">
        <v>284</v>
      </c>
      <c r="M48" s="18" t="s">
        <v>285</v>
      </c>
      <c r="N48" s="23" t="s">
        <v>7</v>
      </c>
      <c r="O48" s="17" t="str">
        <f aca="false">IF(K48="","",IF(COUNTIF($K$5:$K$327,K48)&gt;1,"DUPLICADO","Único"))</f>
        <v>Único</v>
      </c>
      <c r="P48" s="18" t="s">
        <v>213</v>
      </c>
      <c r="Q48" s="18" t="s">
        <v>179</v>
      </c>
      <c r="R48" s="17"/>
    </row>
    <row r="49" customFormat="false" ht="35.05" hidden="false" customHeight="false" outlineLevel="0" collapsed="false">
      <c r="A49" s="17" t="s">
        <v>51</v>
      </c>
      <c r="B49" s="17" t="s">
        <v>52</v>
      </c>
      <c r="C49" s="17" t="s">
        <v>286</v>
      </c>
      <c r="D49" s="18" t="s">
        <v>287</v>
      </c>
      <c r="E49" s="17" t="s">
        <v>155</v>
      </c>
      <c r="F49" s="19" t="n">
        <v>1</v>
      </c>
      <c r="G49" s="20" t="s">
        <v>173</v>
      </c>
      <c r="H49" s="20" t="s">
        <v>288</v>
      </c>
      <c r="I49" s="20" t="s">
        <v>175</v>
      </c>
      <c r="J49" s="20" t="s">
        <v>289</v>
      </c>
      <c r="K49" s="21" t="str">
        <f aca="false">IF(OR(G49="",H49="",I49=""),"",G49&amp;H49&amp;I49&amp;J49)</f>
        <v>PC104XXZR</v>
      </c>
      <c r="L49" s="18" t="s">
        <v>290</v>
      </c>
      <c r="M49" s="18" t="s">
        <v>291</v>
      </c>
      <c r="N49" s="23" t="s">
        <v>7</v>
      </c>
      <c r="O49" s="17" t="str">
        <f aca="false">IF(K49="","",IF(COUNTIF($K$5:$K$327,K49)&gt;1,"DUPLICADO","Único"))</f>
        <v>Único</v>
      </c>
      <c r="P49" s="18" t="s">
        <v>292</v>
      </c>
      <c r="Q49" s="18" t="s">
        <v>179</v>
      </c>
      <c r="R49" s="17"/>
    </row>
    <row r="50" customFormat="false" ht="23.85" hidden="false" customHeight="false" outlineLevel="0" collapsed="false">
      <c r="A50" s="17" t="s">
        <v>51</v>
      </c>
      <c r="B50" s="17" t="s">
        <v>52</v>
      </c>
      <c r="C50" s="17" t="s">
        <v>293</v>
      </c>
      <c r="D50" s="18" t="s">
        <v>294</v>
      </c>
      <c r="E50" s="17" t="s">
        <v>172</v>
      </c>
      <c r="F50" s="19" t="n">
        <v>-704</v>
      </c>
      <c r="G50" s="20"/>
      <c r="H50" s="20"/>
      <c r="I50" s="20"/>
      <c r="J50" s="20"/>
      <c r="K50" s="21" t="str">
        <f aca="false">IF(OR(G50="",H50="",I50=""),"",G50&amp;H50&amp;I50&amp;J50)</f>
        <v/>
      </c>
      <c r="L50" s="18"/>
      <c r="M50" s="18"/>
      <c r="N50" s="23" t="s">
        <v>7</v>
      </c>
      <c r="O50" s="17" t="str">
        <f aca="false">IF(K50="","",IF(COUNTIF($K$5:$K$327,K50)&gt;1,"DUPLICADO","Único"))</f>
        <v/>
      </c>
      <c r="P50" s="18" t="s">
        <v>295</v>
      </c>
      <c r="Q50" s="18" t="s">
        <v>296</v>
      </c>
      <c r="R50" s="17"/>
    </row>
    <row r="51" customFormat="false" ht="23.85" hidden="false" customHeight="false" outlineLevel="0" collapsed="false">
      <c r="A51" s="17" t="s">
        <v>51</v>
      </c>
      <c r="B51" s="17" t="s">
        <v>52</v>
      </c>
      <c r="C51" s="17" t="s">
        <v>297</v>
      </c>
      <c r="D51" s="18" t="s">
        <v>298</v>
      </c>
      <c r="E51" s="17" t="s">
        <v>172</v>
      </c>
      <c r="F51" s="19" t="n">
        <v>-63</v>
      </c>
      <c r="G51" s="20"/>
      <c r="H51" s="20"/>
      <c r="I51" s="20"/>
      <c r="J51" s="20"/>
      <c r="K51" s="21" t="str">
        <f aca="false">IF(OR(G51="",H51="",I51=""),"",G51&amp;H51&amp;I51&amp;J51)</f>
        <v/>
      </c>
      <c r="L51" s="18"/>
      <c r="M51" s="18"/>
      <c r="N51" s="23" t="s">
        <v>7</v>
      </c>
      <c r="O51" s="17" t="str">
        <f aca="false">IF(K51="","",IF(COUNTIF($K$5:$K$327,K51)&gt;1,"DUPLICADO","Único"))</f>
        <v/>
      </c>
      <c r="P51" s="18" t="s">
        <v>295</v>
      </c>
      <c r="Q51" s="18" t="s">
        <v>296</v>
      </c>
      <c r="R51" s="17"/>
    </row>
    <row r="52" customFormat="false" ht="35.05" hidden="false" customHeight="false" outlineLevel="0" collapsed="false">
      <c r="A52" s="17" t="s">
        <v>51</v>
      </c>
      <c r="B52" s="17" t="s">
        <v>52</v>
      </c>
      <c r="C52" s="17" t="s">
        <v>299</v>
      </c>
      <c r="D52" s="18" t="s">
        <v>300</v>
      </c>
      <c r="E52" s="17" t="s">
        <v>301</v>
      </c>
      <c r="F52" s="19" t="n">
        <v>0</v>
      </c>
      <c r="G52" s="20" t="s">
        <v>55</v>
      </c>
      <c r="H52" s="20" t="s">
        <v>225</v>
      </c>
      <c r="I52" s="20" t="s">
        <v>302</v>
      </c>
      <c r="J52" s="20" t="s">
        <v>58</v>
      </c>
      <c r="K52" s="21" t="str">
        <f aca="false">IF(OR(G52="",H52="",I52=""),"",G52&amp;H52&amp;I52&amp;J52)</f>
        <v>GL10124TR</v>
      </c>
      <c r="L52" s="18" t="s">
        <v>303</v>
      </c>
      <c r="M52" s="18" t="s">
        <v>304</v>
      </c>
      <c r="N52" s="22" t="s">
        <v>6</v>
      </c>
      <c r="O52" s="17" t="str">
        <f aca="false">IF(K52="","",IF(COUNTIF($K$5:$K$327,K52)&gt;1,"DUPLICADO","Único"))</f>
        <v>Único</v>
      </c>
      <c r="P52" s="18" t="s">
        <v>305</v>
      </c>
      <c r="Q52" s="18" t="s">
        <v>306</v>
      </c>
      <c r="R52" s="17"/>
    </row>
    <row r="53" customFormat="false" ht="23.85" hidden="false" customHeight="false" outlineLevel="0" collapsed="false">
      <c r="A53" s="17" t="s">
        <v>51</v>
      </c>
      <c r="B53" s="17" t="s">
        <v>52</v>
      </c>
      <c r="C53" s="17" t="s">
        <v>307</v>
      </c>
      <c r="D53" s="18" t="s">
        <v>308</v>
      </c>
      <c r="E53" s="17"/>
      <c r="F53" s="19" t="n">
        <v>81</v>
      </c>
      <c r="G53" s="20" t="s">
        <v>55</v>
      </c>
      <c r="H53" s="20" t="s">
        <v>225</v>
      </c>
      <c r="I53" s="20" t="s">
        <v>309</v>
      </c>
      <c r="J53" s="20" t="s">
        <v>58</v>
      </c>
      <c r="K53" s="21" t="str">
        <f aca="false">IF(OR(G53="",H53="",I53=""),"",G53&amp;H53&amp;I53&amp;J53)</f>
        <v>GL10136TR</v>
      </c>
      <c r="L53" s="18" t="s">
        <v>310</v>
      </c>
      <c r="M53" s="18" t="s">
        <v>311</v>
      </c>
      <c r="N53" s="24" t="s">
        <v>5</v>
      </c>
      <c r="O53" s="17" t="str">
        <f aca="false">IF(K53="","",IF(COUNTIF($K$5:$K$327,K53)&gt;1,"DUPLICADO","Único"))</f>
        <v>Único</v>
      </c>
      <c r="P53" s="18"/>
      <c r="Q53" s="18" t="s">
        <v>312</v>
      </c>
      <c r="R53" s="17"/>
    </row>
    <row r="54" customFormat="false" ht="23.85" hidden="false" customHeight="false" outlineLevel="0" collapsed="false">
      <c r="A54" s="17" t="s">
        <v>51</v>
      </c>
      <c r="B54" s="17" t="s">
        <v>52</v>
      </c>
      <c r="C54" s="17" t="s">
        <v>313</v>
      </c>
      <c r="D54" s="18" t="s">
        <v>314</v>
      </c>
      <c r="E54" s="17" t="s">
        <v>301</v>
      </c>
      <c r="F54" s="19" t="n">
        <v>0</v>
      </c>
      <c r="G54" s="20" t="s">
        <v>55</v>
      </c>
      <c r="H54" s="20" t="s">
        <v>81</v>
      </c>
      <c r="I54" s="20" t="s">
        <v>302</v>
      </c>
      <c r="J54" s="20" t="s">
        <v>58</v>
      </c>
      <c r="K54" s="21" t="str">
        <f aca="false">IF(OR(G54="",H54="",I54=""),"",G54&amp;H54&amp;I54&amp;J54)</f>
        <v>GL10724TR</v>
      </c>
      <c r="L54" s="18" t="s">
        <v>315</v>
      </c>
      <c r="M54" s="18" t="s">
        <v>316</v>
      </c>
      <c r="N54" s="22" t="s">
        <v>6</v>
      </c>
      <c r="O54" s="17" t="str">
        <f aca="false">IF(K54="","",IF(COUNTIF($K$5:$K$327,K54)&gt;1,"DUPLICADO","Único"))</f>
        <v>Único</v>
      </c>
      <c r="P54" s="18" t="s">
        <v>317</v>
      </c>
      <c r="Q54" s="18" t="s">
        <v>318</v>
      </c>
      <c r="R54" s="17"/>
    </row>
    <row r="55" customFormat="false" ht="23.85" hidden="false" customHeight="false" outlineLevel="0" collapsed="false">
      <c r="A55" s="17" t="s">
        <v>51</v>
      </c>
      <c r="B55" s="17" t="s">
        <v>52</v>
      </c>
      <c r="C55" s="17" t="s">
        <v>319</v>
      </c>
      <c r="D55" s="18" t="s">
        <v>320</v>
      </c>
      <c r="E55" s="17"/>
      <c r="F55" s="19" t="n">
        <v>4</v>
      </c>
      <c r="G55" s="20" t="s">
        <v>55</v>
      </c>
      <c r="H55" s="20" t="s">
        <v>81</v>
      </c>
      <c r="I55" s="20" t="s">
        <v>309</v>
      </c>
      <c r="J55" s="20" t="s">
        <v>58</v>
      </c>
      <c r="K55" s="21" t="str">
        <f aca="false">IF(OR(G55="",H55="",I55=""),"",G55&amp;H55&amp;I55&amp;J55)</f>
        <v>GL10736TR</v>
      </c>
      <c r="L55" s="18" t="s">
        <v>321</v>
      </c>
      <c r="M55" s="18" t="s">
        <v>322</v>
      </c>
      <c r="N55" s="22" t="s">
        <v>6</v>
      </c>
      <c r="O55" s="17" t="str">
        <f aca="false">IF(K55="","",IF(COUNTIF($K$5:$K$327,K55)&gt;1,"DUPLICADO","Único"))</f>
        <v>Único</v>
      </c>
      <c r="P55" s="18" t="s">
        <v>323</v>
      </c>
      <c r="Q55" s="18" t="s">
        <v>324</v>
      </c>
      <c r="R55" s="17"/>
    </row>
    <row r="56" customFormat="false" ht="23.85" hidden="false" customHeight="false" outlineLevel="0" collapsed="false">
      <c r="A56" s="17" t="s">
        <v>51</v>
      </c>
      <c r="B56" s="17" t="s">
        <v>52</v>
      </c>
      <c r="C56" s="17" t="s">
        <v>325</v>
      </c>
      <c r="D56" s="18" t="s">
        <v>326</v>
      </c>
      <c r="E56" s="17" t="s">
        <v>301</v>
      </c>
      <c r="F56" s="19" t="n">
        <v>0</v>
      </c>
      <c r="G56" s="20" t="s">
        <v>55</v>
      </c>
      <c r="H56" s="20" t="s">
        <v>86</v>
      </c>
      <c r="I56" s="20" t="s">
        <v>302</v>
      </c>
      <c r="J56" s="20" t="s">
        <v>58</v>
      </c>
      <c r="K56" s="21" t="str">
        <f aca="false">IF(OR(G56="",H56="",I56=""),"",G56&amp;H56&amp;I56&amp;J56)</f>
        <v>GL11024TR</v>
      </c>
      <c r="L56" s="18" t="s">
        <v>327</v>
      </c>
      <c r="M56" s="18" t="s">
        <v>328</v>
      </c>
      <c r="N56" s="22" t="s">
        <v>6</v>
      </c>
      <c r="O56" s="17" t="str">
        <f aca="false">IF(K56="","",IF(COUNTIF($K$5:$K$327,K56)&gt;1,"DUPLICADO","Único"))</f>
        <v>Único</v>
      </c>
      <c r="P56" s="18" t="s">
        <v>317</v>
      </c>
      <c r="Q56" s="18" t="s">
        <v>329</v>
      </c>
      <c r="R56" s="17"/>
    </row>
    <row r="57" customFormat="false" ht="23.85" hidden="false" customHeight="false" outlineLevel="0" collapsed="false">
      <c r="A57" s="17" t="s">
        <v>51</v>
      </c>
      <c r="B57" s="17" t="s">
        <v>52</v>
      </c>
      <c r="C57" s="17" t="s">
        <v>330</v>
      </c>
      <c r="D57" s="18" t="s">
        <v>331</v>
      </c>
      <c r="E57" s="17"/>
      <c r="F57" s="19" t="n">
        <v>2</v>
      </c>
      <c r="G57" s="20" t="s">
        <v>55</v>
      </c>
      <c r="H57" s="20" t="s">
        <v>86</v>
      </c>
      <c r="I57" s="20" t="s">
        <v>309</v>
      </c>
      <c r="J57" s="20" t="s">
        <v>58</v>
      </c>
      <c r="K57" s="21" t="str">
        <f aca="false">IF(OR(G57="",H57="",I57=""),"",G57&amp;H57&amp;I57&amp;J57)</f>
        <v>GL11036TR</v>
      </c>
      <c r="L57" s="18" t="s">
        <v>332</v>
      </c>
      <c r="M57" s="18" t="s">
        <v>333</v>
      </c>
      <c r="N57" s="22" t="s">
        <v>6</v>
      </c>
      <c r="O57" s="17" t="str">
        <f aca="false">IF(K57="","",IF(COUNTIF($K$5:$K$327,K57)&gt;1,"DUPLICADO","Único"))</f>
        <v>Único</v>
      </c>
      <c r="P57" s="18" t="s">
        <v>323</v>
      </c>
      <c r="Q57" s="18"/>
      <c r="R57" s="17"/>
    </row>
    <row r="58" customFormat="false" ht="35.05" hidden="false" customHeight="false" outlineLevel="0" collapsed="false">
      <c r="A58" s="17" t="s">
        <v>51</v>
      </c>
      <c r="B58" s="17" t="s">
        <v>52</v>
      </c>
      <c r="C58" s="17" t="s">
        <v>334</v>
      </c>
      <c r="D58" s="18" t="s">
        <v>335</v>
      </c>
      <c r="E58" s="17" t="s">
        <v>301</v>
      </c>
      <c r="F58" s="19" t="n">
        <v>0</v>
      </c>
      <c r="G58" s="20" t="s">
        <v>55</v>
      </c>
      <c r="H58" s="20" t="s">
        <v>336</v>
      </c>
      <c r="I58" s="20" t="s">
        <v>302</v>
      </c>
      <c r="J58" s="20" t="s">
        <v>58</v>
      </c>
      <c r="K58" s="21" t="str">
        <f aca="false">IF(OR(G58="",H58="",I58=""),"",G58&amp;H58&amp;I58&amp;J58)</f>
        <v>GL10924TR</v>
      </c>
      <c r="L58" s="18" t="s">
        <v>337</v>
      </c>
      <c r="M58" s="18" t="s">
        <v>338</v>
      </c>
      <c r="N58" s="22" t="s">
        <v>6</v>
      </c>
      <c r="O58" s="17" t="str">
        <f aca="false">IF(K58="","",IF(COUNTIF($K$5:$K$327,K58)&gt;1,"DUPLICADO","Único"))</f>
        <v>Único</v>
      </c>
      <c r="P58" s="18" t="s">
        <v>317</v>
      </c>
      <c r="Q58" s="18" t="s">
        <v>339</v>
      </c>
      <c r="R58" s="17"/>
    </row>
    <row r="59" customFormat="false" ht="23.85" hidden="false" customHeight="false" outlineLevel="0" collapsed="false">
      <c r="A59" s="17" t="s">
        <v>51</v>
      </c>
      <c r="B59" s="17" t="s">
        <v>52</v>
      </c>
      <c r="C59" s="17" t="s">
        <v>340</v>
      </c>
      <c r="D59" s="18" t="s">
        <v>341</v>
      </c>
      <c r="E59" s="17"/>
      <c r="F59" s="19" t="n">
        <v>11</v>
      </c>
      <c r="G59" s="20" t="s">
        <v>55</v>
      </c>
      <c r="H59" s="20" t="s">
        <v>336</v>
      </c>
      <c r="I59" s="20" t="s">
        <v>309</v>
      </c>
      <c r="J59" s="20" t="s">
        <v>58</v>
      </c>
      <c r="K59" s="21" t="str">
        <f aca="false">IF(OR(G59="",H59="",I59=""),"",G59&amp;H59&amp;I59&amp;J59)</f>
        <v>GL10936TR</v>
      </c>
      <c r="L59" s="18" t="s">
        <v>342</v>
      </c>
      <c r="M59" s="18" t="s">
        <v>343</v>
      </c>
      <c r="N59" s="22" t="s">
        <v>6</v>
      </c>
      <c r="O59" s="17" t="str">
        <f aca="false">IF(K59="","",IF(COUNTIF($K$5:$K$327,K59)&gt;1,"DUPLICADO","Único"))</f>
        <v>Único</v>
      </c>
      <c r="P59" s="18" t="s">
        <v>323</v>
      </c>
      <c r="Q59" s="18" t="s">
        <v>344</v>
      </c>
      <c r="R59" s="17"/>
    </row>
    <row r="60" customFormat="false" ht="23.85" hidden="false" customHeight="false" outlineLevel="0" collapsed="false">
      <c r="A60" s="17" t="s">
        <v>51</v>
      </c>
      <c r="B60" s="17" t="s">
        <v>52</v>
      </c>
      <c r="C60" s="17" t="s">
        <v>345</v>
      </c>
      <c r="D60" s="18" t="s">
        <v>346</v>
      </c>
      <c r="E60" s="17" t="s">
        <v>301</v>
      </c>
      <c r="F60" s="19" t="n">
        <v>0</v>
      </c>
      <c r="G60" s="20" t="s">
        <v>55</v>
      </c>
      <c r="H60" s="20" t="s">
        <v>130</v>
      </c>
      <c r="I60" s="20" t="s">
        <v>302</v>
      </c>
      <c r="J60" s="20" t="s">
        <v>58</v>
      </c>
      <c r="K60" s="21" t="str">
        <f aca="false">IF(OR(G60="",H60="",I60=""),"",G60&amp;H60&amp;I60&amp;J60)</f>
        <v>GL12124TR</v>
      </c>
      <c r="L60" s="18" t="s">
        <v>347</v>
      </c>
      <c r="M60" s="18" t="s">
        <v>348</v>
      </c>
      <c r="N60" s="22" t="s">
        <v>6</v>
      </c>
      <c r="O60" s="17" t="str">
        <f aca="false">IF(K60="","",IF(COUNTIF($K$5:$K$327,K60)&gt;1,"DUPLICADO","Único"))</f>
        <v>Único</v>
      </c>
      <c r="P60" s="18" t="s">
        <v>317</v>
      </c>
      <c r="Q60" s="18" t="s">
        <v>329</v>
      </c>
      <c r="R60" s="17"/>
    </row>
    <row r="61" customFormat="false" ht="23.85" hidden="false" customHeight="false" outlineLevel="0" collapsed="false">
      <c r="A61" s="17" t="s">
        <v>51</v>
      </c>
      <c r="B61" s="17" t="s">
        <v>52</v>
      </c>
      <c r="C61" s="17" t="s">
        <v>349</v>
      </c>
      <c r="D61" s="18" t="s">
        <v>350</v>
      </c>
      <c r="E61" s="17"/>
      <c r="F61" s="19" t="n">
        <v>57</v>
      </c>
      <c r="G61" s="20" t="s">
        <v>55</v>
      </c>
      <c r="H61" s="20" t="s">
        <v>130</v>
      </c>
      <c r="I61" s="20" t="s">
        <v>309</v>
      </c>
      <c r="J61" s="20" t="s">
        <v>58</v>
      </c>
      <c r="K61" s="21" t="str">
        <f aca="false">IF(OR(G61="",H61="",I61=""),"",G61&amp;H61&amp;I61&amp;J61)</f>
        <v>GL12136TR</v>
      </c>
      <c r="L61" s="18" t="s">
        <v>351</v>
      </c>
      <c r="M61" s="18" t="s">
        <v>352</v>
      </c>
      <c r="N61" s="22" t="s">
        <v>6</v>
      </c>
      <c r="O61" s="17" t="str">
        <f aca="false">IF(K61="","",IF(COUNTIF($K$5:$K$327,K61)&gt;1,"DUPLICADO","Único"))</f>
        <v>Único</v>
      </c>
      <c r="P61" s="18" t="s">
        <v>323</v>
      </c>
      <c r="Q61" s="18"/>
      <c r="R61" s="17"/>
    </row>
    <row r="62" customFormat="false" ht="23.85" hidden="false" customHeight="false" outlineLevel="0" collapsed="false">
      <c r="A62" s="17" t="s">
        <v>51</v>
      </c>
      <c r="B62" s="17" t="s">
        <v>52</v>
      </c>
      <c r="C62" s="17" t="s">
        <v>353</v>
      </c>
      <c r="D62" s="18" t="s">
        <v>354</v>
      </c>
      <c r="E62" s="17" t="s">
        <v>355</v>
      </c>
      <c r="F62" s="19" t="n">
        <v>0</v>
      </c>
      <c r="G62" s="20" t="s">
        <v>55</v>
      </c>
      <c r="H62" s="20" t="s">
        <v>356</v>
      </c>
      <c r="I62" s="20" t="s">
        <v>57</v>
      </c>
      <c r="J62" s="20" t="s">
        <v>58</v>
      </c>
      <c r="K62" s="21" t="str">
        <f aca="false">IF(OR(G62="",H62="",I62=""),"",G62&amp;H62&amp;I62&amp;J62)</f>
        <v>GL108C1TR</v>
      </c>
      <c r="L62" s="18" t="s">
        <v>357</v>
      </c>
      <c r="M62" s="18" t="s">
        <v>358</v>
      </c>
      <c r="N62" s="22" t="s">
        <v>6</v>
      </c>
      <c r="O62" s="17" t="str">
        <f aca="false">IF(K62="","",IF(COUNTIF($K$5:$K$327,K62)&gt;1,"DUPLICADO","Único"))</f>
        <v>Único</v>
      </c>
      <c r="P62" s="18" t="s">
        <v>61</v>
      </c>
      <c r="Q62" s="18"/>
      <c r="R62" s="17"/>
    </row>
    <row r="63" customFormat="false" ht="23.85" hidden="false" customHeight="false" outlineLevel="0" collapsed="false">
      <c r="A63" s="17" t="s">
        <v>51</v>
      </c>
      <c r="B63" s="17" t="s">
        <v>52</v>
      </c>
      <c r="C63" s="17" t="s">
        <v>359</v>
      </c>
      <c r="D63" s="18" t="s">
        <v>360</v>
      </c>
      <c r="E63" s="17" t="s">
        <v>355</v>
      </c>
      <c r="F63" s="19" t="n">
        <v>0</v>
      </c>
      <c r="G63" s="20" t="s">
        <v>55</v>
      </c>
      <c r="H63" s="20" t="s">
        <v>361</v>
      </c>
      <c r="I63" s="20" t="s">
        <v>57</v>
      </c>
      <c r="J63" s="20" t="s">
        <v>58</v>
      </c>
      <c r="K63" s="21" t="str">
        <f aca="false">IF(OR(G63="",H63="",I63=""),"",G63&amp;H63&amp;I63&amp;J63)</f>
        <v>GL202C1TR</v>
      </c>
      <c r="L63" s="18" t="s">
        <v>362</v>
      </c>
      <c r="M63" s="18" t="s">
        <v>363</v>
      </c>
      <c r="N63" s="22" t="s">
        <v>6</v>
      </c>
      <c r="O63" s="17" t="str">
        <f aca="false">IF(K63="","",IF(COUNTIF($K$5:$K$327,K63)&gt;1,"DUPLICADO","Único"))</f>
        <v>Único</v>
      </c>
      <c r="P63" s="18" t="s">
        <v>61</v>
      </c>
      <c r="Q63" s="18"/>
      <c r="R63" s="17"/>
    </row>
    <row r="64" customFormat="false" ht="23.85" hidden="false" customHeight="false" outlineLevel="0" collapsed="false">
      <c r="A64" s="17" t="s">
        <v>51</v>
      </c>
      <c r="B64" s="17" t="s">
        <v>52</v>
      </c>
      <c r="C64" s="17" t="s">
        <v>364</v>
      </c>
      <c r="D64" s="18" t="s">
        <v>365</v>
      </c>
      <c r="E64" s="17" t="s">
        <v>65</v>
      </c>
      <c r="F64" s="19" t="n">
        <v>41</v>
      </c>
      <c r="G64" s="20" t="s">
        <v>55</v>
      </c>
      <c r="H64" s="20" t="s">
        <v>366</v>
      </c>
      <c r="I64" s="20" t="s">
        <v>57</v>
      </c>
      <c r="J64" s="20" t="s">
        <v>58</v>
      </c>
      <c r="K64" s="21" t="str">
        <f aca="false">IF(OR(G64="",H64="",I64=""),"",G64&amp;H64&amp;I64&amp;J64)</f>
        <v>GL114C1TR</v>
      </c>
      <c r="L64" s="18" t="s">
        <v>367</v>
      </c>
      <c r="M64" s="18" t="s">
        <v>368</v>
      </c>
      <c r="N64" s="22" t="s">
        <v>6</v>
      </c>
      <c r="O64" s="17" t="str">
        <f aca="false">IF(K64="","",IF(COUNTIF($K$5:$K$327,K64)&gt;1,"DUPLICADO","Único"))</f>
        <v>Único</v>
      </c>
      <c r="P64" s="18" t="s">
        <v>61</v>
      </c>
      <c r="Q64" s="18"/>
      <c r="R64" s="17"/>
    </row>
    <row r="65" customFormat="false" ht="35.05" hidden="false" customHeight="false" outlineLevel="0" collapsed="false">
      <c r="A65" s="17" t="s">
        <v>51</v>
      </c>
      <c r="B65" s="17" t="s">
        <v>52</v>
      </c>
      <c r="C65" s="17" t="s">
        <v>369</v>
      </c>
      <c r="D65" s="18" t="s">
        <v>370</v>
      </c>
      <c r="E65" s="17" t="s">
        <v>355</v>
      </c>
      <c r="F65" s="19" t="n">
        <v>0</v>
      </c>
      <c r="G65" s="20" t="s">
        <v>55</v>
      </c>
      <c r="H65" s="20" t="s">
        <v>187</v>
      </c>
      <c r="I65" s="20" t="s">
        <v>57</v>
      </c>
      <c r="J65" s="20" t="s">
        <v>289</v>
      </c>
      <c r="K65" s="21" t="str">
        <f aca="false">IF(OR(G65="",H65="",I65=""),"",G65&amp;H65&amp;I65&amp;J65)</f>
        <v>GL204C1ZR</v>
      </c>
      <c r="L65" s="18" t="s">
        <v>371</v>
      </c>
      <c r="M65" s="18" t="s">
        <v>372</v>
      </c>
      <c r="N65" s="22" t="s">
        <v>6</v>
      </c>
      <c r="O65" s="17" t="str">
        <f aca="false">IF(K65="","",IF(COUNTIF($K$5:$K$327,K65)&gt;1,"DUPLICADO","Único"))</f>
        <v>Único</v>
      </c>
      <c r="P65" s="18" t="s">
        <v>373</v>
      </c>
      <c r="Q65" s="18"/>
      <c r="R65" s="17"/>
    </row>
    <row r="66" customFormat="false" ht="23.85" hidden="false" customHeight="false" outlineLevel="0" collapsed="false">
      <c r="A66" s="17" t="s">
        <v>51</v>
      </c>
      <c r="B66" s="17" t="s">
        <v>52</v>
      </c>
      <c r="C66" s="17" t="s">
        <v>374</v>
      </c>
      <c r="D66" s="18" t="s">
        <v>375</v>
      </c>
      <c r="E66" s="17" t="s">
        <v>355</v>
      </c>
      <c r="F66" s="19" t="n">
        <v>0</v>
      </c>
      <c r="G66" s="20" t="s">
        <v>55</v>
      </c>
      <c r="H66" s="20" t="s">
        <v>376</v>
      </c>
      <c r="I66" s="20" t="s">
        <v>57</v>
      </c>
      <c r="J66" s="20" t="s">
        <v>58</v>
      </c>
      <c r="K66" s="21" t="str">
        <f aca="false">IF(OR(G66="",H66="",I66=""),"",G66&amp;H66&amp;I66&amp;J66)</f>
        <v>GL117C1TR</v>
      </c>
      <c r="L66" s="18" t="s">
        <v>377</v>
      </c>
      <c r="M66" s="18" t="s">
        <v>378</v>
      </c>
      <c r="N66" s="22" t="s">
        <v>6</v>
      </c>
      <c r="O66" s="17" t="str">
        <f aca="false">IF(K66="","",IF(COUNTIF($K$5:$K$327,K66)&gt;1,"DUPLICADO","Único"))</f>
        <v>Único</v>
      </c>
      <c r="P66" s="18" t="s">
        <v>61</v>
      </c>
      <c r="Q66" s="18"/>
      <c r="R66" s="17"/>
    </row>
    <row r="67" customFormat="false" ht="23.85" hidden="false" customHeight="false" outlineLevel="0" collapsed="false">
      <c r="A67" s="17" t="s">
        <v>51</v>
      </c>
      <c r="B67" s="17" t="s">
        <v>52</v>
      </c>
      <c r="C67" s="17" t="s">
        <v>379</v>
      </c>
      <c r="D67" s="18" t="s">
        <v>380</v>
      </c>
      <c r="E67" s="17" t="s">
        <v>65</v>
      </c>
      <c r="F67" s="19" t="n">
        <v>0</v>
      </c>
      <c r="G67" s="20" t="s">
        <v>55</v>
      </c>
      <c r="H67" s="20" t="s">
        <v>381</v>
      </c>
      <c r="I67" s="20" t="s">
        <v>57</v>
      </c>
      <c r="J67" s="20" t="s">
        <v>58</v>
      </c>
      <c r="K67" s="21" t="str">
        <f aca="false">IF(OR(G67="",H67="",I67=""),"",G67&amp;H67&amp;I67&amp;J67)</f>
        <v>GL119C1TR</v>
      </c>
      <c r="L67" s="18" t="s">
        <v>382</v>
      </c>
      <c r="M67" s="18" t="s">
        <v>383</v>
      </c>
      <c r="N67" s="22" t="s">
        <v>6</v>
      </c>
      <c r="O67" s="17" t="str">
        <f aca="false">IF(K67="","",IF(COUNTIF($K$5:$K$327,K67)&gt;1,"DUPLICADO","Único"))</f>
        <v>Único</v>
      </c>
      <c r="P67" s="18" t="s">
        <v>61</v>
      </c>
      <c r="Q67" s="18"/>
      <c r="R67" s="17"/>
    </row>
    <row r="68" customFormat="false" ht="23.85" hidden="false" customHeight="false" outlineLevel="0" collapsed="false">
      <c r="A68" s="17" t="s">
        <v>51</v>
      </c>
      <c r="B68" s="17" t="s">
        <v>52</v>
      </c>
      <c r="C68" s="17" t="s">
        <v>384</v>
      </c>
      <c r="D68" s="18" t="s">
        <v>385</v>
      </c>
      <c r="E68" s="17" t="s">
        <v>355</v>
      </c>
      <c r="F68" s="19" t="n">
        <v>0</v>
      </c>
      <c r="G68" s="20" t="s">
        <v>55</v>
      </c>
      <c r="H68" s="20" t="s">
        <v>386</v>
      </c>
      <c r="I68" s="20" t="s">
        <v>57</v>
      </c>
      <c r="J68" s="20" t="s">
        <v>58</v>
      </c>
      <c r="K68" s="21" t="str">
        <f aca="false">IF(OR(G68="",H68="",I68=""),"",G68&amp;H68&amp;I68&amp;J68)</f>
        <v>GL125C1TR</v>
      </c>
      <c r="L68" s="18" t="s">
        <v>387</v>
      </c>
      <c r="M68" s="18" t="s">
        <v>388</v>
      </c>
      <c r="N68" s="22" t="s">
        <v>6</v>
      </c>
      <c r="O68" s="17" t="str">
        <f aca="false">IF(K68="","",IF(COUNTIF($K$5:$K$327,K68)&gt;1,"DUPLICADO","Único"))</f>
        <v>Único</v>
      </c>
      <c r="P68" s="18" t="s">
        <v>61</v>
      </c>
      <c r="Q68" s="18"/>
      <c r="R68" s="17"/>
    </row>
    <row r="69" customFormat="false" ht="23.85" hidden="false" customHeight="false" outlineLevel="0" collapsed="false">
      <c r="A69" s="17" t="s">
        <v>51</v>
      </c>
      <c r="B69" s="17" t="s">
        <v>52</v>
      </c>
      <c r="C69" s="17" t="s">
        <v>389</v>
      </c>
      <c r="D69" s="18" t="s">
        <v>390</v>
      </c>
      <c r="E69" s="17" t="s">
        <v>355</v>
      </c>
      <c r="F69" s="19" t="n">
        <v>0</v>
      </c>
      <c r="G69" s="20" t="s">
        <v>55</v>
      </c>
      <c r="H69" s="20" t="s">
        <v>391</v>
      </c>
      <c r="I69" s="20" t="s">
        <v>57</v>
      </c>
      <c r="J69" s="20" t="s">
        <v>58</v>
      </c>
      <c r="K69" s="21" t="str">
        <f aca="false">IF(OR(G69="",H69="",I69=""),"",G69&amp;H69&amp;I69&amp;J69)</f>
        <v>GL112C1TR</v>
      </c>
      <c r="L69" s="18" t="s">
        <v>392</v>
      </c>
      <c r="M69" s="18" t="s">
        <v>393</v>
      </c>
      <c r="N69" s="22" t="s">
        <v>6</v>
      </c>
      <c r="O69" s="17" t="str">
        <f aca="false">IF(K69="","",IF(COUNTIF($K$5:$K$327,K69)&gt;1,"DUPLICADO","Único"))</f>
        <v>Único</v>
      </c>
      <c r="P69" s="18" t="s">
        <v>61</v>
      </c>
      <c r="Q69" s="18"/>
      <c r="R69" s="17"/>
    </row>
    <row r="70" customFormat="false" ht="23.85" hidden="false" customHeight="false" outlineLevel="0" collapsed="false">
      <c r="A70" s="17" t="s">
        <v>51</v>
      </c>
      <c r="B70" s="17" t="s">
        <v>52</v>
      </c>
      <c r="C70" s="17" t="s">
        <v>394</v>
      </c>
      <c r="D70" s="18" t="s">
        <v>395</v>
      </c>
      <c r="E70" s="17" t="s">
        <v>355</v>
      </c>
      <c r="F70" s="19" t="n">
        <v>0</v>
      </c>
      <c r="G70" s="20" t="s">
        <v>55</v>
      </c>
      <c r="H70" s="20" t="s">
        <v>205</v>
      </c>
      <c r="I70" s="20" t="s">
        <v>57</v>
      </c>
      <c r="J70" s="20" t="s">
        <v>58</v>
      </c>
      <c r="K70" s="21" t="str">
        <f aca="false">IF(OR(G70="",H70="",I70=""),"",G70&amp;H70&amp;I70&amp;J70)</f>
        <v>GL205C1TR</v>
      </c>
      <c r="L70" s="18" t="s">
        <v>396</v>
      </c>
      <c r="M70" s="18" t="s">
        <v>397</v>
      </c>
      <c r="N70" s="22" t="s">
        <v>6</v>
      </c>
      <c r="O70" s="17" t="str">
        <f aca="false">IF(K70="","",IF(COUNTIF($K$5:$K$327,K70)&gt;1,"DUPLICADO","Único"))</f>
        <v>Único</v>
      </c>
      <c r="P70" s="18" t="s">
        <v>61</v>
      </c>
      <c r="Q70" s="18"/>
      <c r="R70" s="17"/>
    </row>
    <row r="71" customFormat="false" ht="23.85" hidden="false" customHeight="false" outlineLevel="0" collapsed="false">
      <c r="A71" s="17" t="s">
        <v>51</v>
      </c>
      <c r="B71" s="17" t="s">
        <v>52</v>
      </c>
      <c r="C71" s="17" t="s">
        <v>398</v>
      </c>
      <c r="D71" s="18" t="s">
        <v>399</v>
      </c>
      <c r="E71" s="17" t="s">
        <v>355</v>
      </c>
      <c r="F71" s="19" t="n">
        <v>0</v>
      </c>
      <c r="G71" s="20" t="s">
        <v>55</v>
      </c>
      <c r="H71" s="20" t="s">
        <v>336</v>
      </c>
      <c r="I71" s="20" t="s">
        <v>57</v>
      </c>
      <c r="J71" s="20" t="s">
        <v>58</v>
      </c>
      <c r="K71" s="21" t="str">
        <f aca="false">IF(OR(G71="",H71="",I71=""),"",G71&amp;H71&amp;I71&amp;J71)</f>
        <v>GL109C1TR</v>
      </c>
      <c r="L71" s="18" t="s">
        <v>400</v>
      </c>
      <c r="M71" s="18" t="s">
        <v>401</v>
      </c>
      <c r="N71" s="22" t="s">
        <v>6</v>
      </c>
      <c r="O71" s="17" t="str">
        <f aca="false">IF(K71="","",IF(COUNTIF($K$5:$K$327,K71)&gt;1,"DUPLICADO","Único"))</f>
        <v>Único</v>
      </c>
      <c r="P71" s="18" t="s">
        <v>61</v>
      </c>
      <c r="Q71" s="18"/>
      <c r="R71" s="17"/>
    </row>
    <row r="72" customFormat="false" ht="35.05" hidden="false" customHeight="false" outlineLevel="0" collapsed="false">
      <c r="A72" s="17" t="s">
        <v>51</v>
      </c>
      <c r="B72" s="17" t="s">
        <v>52</v>
      </c>
      <c r="C72" s="17" t="s">
        <v>402</v>
      </c>
      <c r="D72" s="18" t="s">
        <v>403</v>
      </c>
      <c r="E72" s="17" t="s">
        <v>172</v>
      </c>
      <c r="F72" s="19" t="n">
        <v>1</v>
      </c>
      <c r="G72" s="20" t="s">
        <v>55</v>
      </c>
      <c r="H72" s="20" t="s">
        <v>174</v>
      </c>
      <c r="I72" s="20" t="s">
        <v>57</v>
      </c>
      <c r="J72" s="20" t="s">
        <v>289</v>
      </c>
      <c r="K72" s="21" t="str">
        <f aca="false">IF(OR(G72="",H72="",I72=""),"",G72&amp;H72&amp;I72&amp;J72)</f>
        <v>GL207C1ZR</v>
      </c>
      <c r="L72" s="18" t="s">
        <v>404</v>
      </c>
      <c r="M72" s="18" t="s">
        <v>405</v>
      </c>
      <c r="N72" s="22" t="s">
        <v>6</v>
      </c>
      <c r="O72" s="17" t="str">
        <f aca="false">IF(K72="","",IF(COUNTIF($K$5:$K$327,K72)&gt;1,"DUPLICADO","Único"))</f>
        <v>Único</v>
      </c>
      <c r="P72" s="18" t="s">
        <v>373</v>
      </c>
      <c r="Q72" s="18" t="s">
        <v>406</v>
      </c>
      <c r="R72" s="17"/>
    </row>
    <row r="73" customFormat="false" ht="23.85" hidden="false" customHeight="false" outlineLevel="0" collapsed="false">
      <c r="A73" s="17" t="s">
        <v>51</v>
      </c>
      <c r="B73" s="17" t="s">
        <v>52</v>
      </c>
      <c r="C73" s="17" t="s">
        <v>407</v>
      </c>
      <c r="D73" s="18" t="s">
        <v>408</v>
      </c>
      <c r="E73" s="17" t="s">
        <v>65</v>
      </c>
      <c r="F73" s="19" t="n">
        <v>1</v>
      </c>
      <c r="G73" s="20" t="s">
        <v>55</v>
      </c>
      <c r="H73" s="20" t="s">
        <v>409</v>
      </c>
      <c r="I73" s="20" t="s">
        <v>57</v>
      </c>
      <c r="J73" s="20" t="s">
        <v>58</v>
      </c>
      <c r="K73" s="21" t="str">
        <f aca="false">IF(OR(G73="",H73="",I73=""),"",G73&amp;H73&amp;I73&amp;J73)</f>
        <v>GL116C1TR</v>
      </c>
      <c r="L73" s="18" t="s">
        <v>410</v>
      </c>
      <c r="M73" s="18" t="s">
        <v>411</v>
      </c>
      <c r="N73" s="22" t="s">
        <v>6</v>
      </c>
      <c r="O73" s="17" t="str">
        <f aca="false">IF(K73="","",IF(COUNTIF($K$5:$K$327,K73)&gt;1,"DUPLICADO","Único"))</f>
        <v>Único</v>
      </c>
      <c r="P73" s="18" t="s">
        <v>61</v>
      </c>
      <c r="Q73" s="18"/>
      <c r="R73" s="17"/>
    </row>
    <row r="74" customFormat="false" ht="23.85" hidden="false" customHeight="false" outlineLevel="0" collapsed="false">
      <c r="A74" s="17" t="s">
        <v>51</v>
      </c>
      <c r="B74" s="17" t="s">
        <v>52</v>
      </c>
      <c r="C74" s="17" t="s">
        <v>412</v>
      </c>
      <c r="D74" s="18" t="s">
        <v>413</v>
      </c>
      <c r="E74" s="17" t="s">
        <v>172</v>
      </c>
      <c r="F74" s="19" t="n">
        <v>23</v>
      </c>
      <c r="G74" s="20" t="s">
        <v>55</v>
      </c>
      <c r="H74" s="20" t="s">
        <v>414</v>
      </c>
      <c r="I74" s="20" t="s">
        <v>57</v>
      </c>
      <c r="J74" s="20" t="s">
        <v>58</v>
      </c>
      <c r="K74" s="21" t="str">
        <f aca="false">IF(OR(G74="",H74="",I74=""),"",G74&amp;H74&amp;I74&amp;J74)</f>
        <v>GL115C1TR</v>
      </c>
      <c r="L74" s="18" t="s">
        <v>415</v>
      </c>
      <c r="M74" s="18" t="s">
        <v>416</v>
      </c>
      <c r="N74" s="22" t="s">
        <v>6</v>
      </c>
      <c r="O74" s="17" t="str">
        <f aca="false">IF(K74="","",IF(COUNTIF($K$5:$K$327,K74)&gt;1,"DUPLICADO","Único"))</f>
        <v>Único</v>
      </c>
      <c r="P74" s="18" t="s">
        <v>61</v>
      </c>
      <c r="Q74" s="18" t="s">
        <v>406</v>
      </c>
      <c r="R74" s="17"/>
    </row>
    <row r="75" customFormat="false" ht="23.85" hidden="false" customHeight="false" outlineLevel="0" collapsed="false">
      <c r="A75" s="17" t="s">
        <v>51</v>
      </c>
      <c r="B75" s="17" t="s">
        <v>52</v>
      </c>
      <c r="C75" s="17" t="s">
        <v>417</v>
      </c>
      <c r="D75" s="18" t="s">
        <v>418</v>
      </c>
      <c r="E75" s="17" t="s">
        <v>155</v>
      </c>
      <c r="F75" s="19" t="n">
        <v>7</v>
      </c>
      <c r="G75" s="20" t="s">
        <v>55</v>
      </c>
      <c r="H75" s="20" t="s">
        <v>419</v>
      </c>
      <c r="I75" s="20" t="s">
        <v>57</v>
      </c>
      <c r="J75" s="20" t="s">
        <v>58</v>
      </c>
      <c r="K75" s="21" t="str">
        <f aca="false">IF(OR(G75="",H75="",I75=""),"",G75&amp;H75&amp;I75&amp;J75)</f>
        <v>GL129C1TR</v>
      </c>
      <c r="L75" s="18" t="s">
        <v>420</v>
      </c>
      <c r="M75" s="18" t="s">
        <v>421</v>
      </c>
      <c r="N75" s="22" t="s">
        <v>6</v>
      </c>
      <c r="O75" s="17" t="str">
        <f aca="false">IF(K75="","",IF(COUNTIF($K$5:$K$327,K75)&gt;1,"DUPLICADO","Único"))</f>
        <v>Único</v>
      </c>
      <c r="P75" s="18" t="s">
        <v>61</v>
      </c>
      <c r="Q75" s="18" t="s">
        <v>159</v>
      </c>
      <c r="R75" s="17"/>
    </row>
    <row r="76" customFormat="false" ht="23.85" hidden="false" customHeight="false" outlineLevel="0" collapsed="false">
      <c r="A76" s="17" t="s">
        <v>51</v>
      </c>
      <c r="B76" s="17" t="s">
        <v>52</v>
      </c>
      <c r="C76" s="17" t="s">
        <v>422</v>
      </c>
      <c r="D76" s="18" t="s">
        <v>107</v>
      </c>
      <c r="E76" s="17" t="s">
        <v>355</v>
      </c>
      <c r="F76" s="19" t="n">
        <v>0</v>
      </c>
      <c r="G76" s="20" t="s">
        <v>55</v>
      </c>
      <c r="H76" s="20" t="s">
        <v>108</v>
      </c>
      <c r="I76" s="20" t="s">
        <v>57</v>
      </c>
      <c r="J76" s="20" t="s">
        <v>58</v>
      </c>
      <c r="K76" s="21" t="str">
        <f aca="false">IF(OR(G76="",H76="",I76=""),"",G76&amp;H76&amp;I76&amp;J76)</f>
        <v>GL200C1TR</v>
      </c>
      <c r="L76" s="18" t="s">
        <v>109</v>
      </c>
      <c r="M76" s="18" t="s">
        <v>110</v>
      </c>
      <c r="N76" s="22" t="s">
        <v>6</v>
      </c>
      <c r="O76" s="17" t="str">
        <f aca="false">IF(K76="","",IF(COUNTIF($K$5:$K$327,K76)&gt;1,"DUPLICADO","Único"))</f>
        <v>DUPLICADO</v>
      </c>
      <c r="P76" s="18" t="s">
        <v>111</v>
      </c>
      <c r="Q76" s="18" t="s">
        <v>423</v>
      </c>
      <c r="R76" s="17"/>
    </row>
    <row r="77" customFormat="false" ht="23.85" hidden="false" customHeight="false" outlineLevel="0" collapsed="false">
      <c r="A77" s="17" t="s">
        <v>51</v>
      </c>
      <c r="B77" s="17" t="s">
        <v>52</v>
      </c>
      <c r="C77" s="17" t="s">
        <v>424</v>
      </c>
      <c r="D77" s="18" t="s">
        <v>95</v>
      </c>
      <c r="E77" s="17" t="s">
        <v>355</v>
      </c>
      <c r="F77" s="19" t="n">
        <v>0</v>
      </c>
      <c r="G77" s="20" t="s">
        <v>55</v>
      </c>
      <c r="H77" s="20" t="s">
        <v>96</v>
      </c>
      <c r="I77" s="20" t="s">
        <v>57</v>
      </c>
      <c r="J77" s="20" t="s">
        <v>58</v>
      </c>
      <c r="K77" s="21" t="str">
        <f aca="false">IF(OR(G77="",H77="",I77=""),"",G77&amp;H77&amp;I77&amp;J77)</f>
        <v>GL201C1TR</v>
      </c>
      <c r="L77" s="18" t="s">
        <v>97</v>
      </c>
      <c r="M77" s="18" t="s">
        <v>98</v>
      </c>
      <c r="N77" s="22" t="s">
        <v>6</v>
      </c>
      <c r="O77" s="17" t="str">
        <f aca="false">IF(K77="","",IF(COUNTIF($K$5:$K$327,K77)&gt;1,"DUPLICADO","Único"))</f>
        <v>DUPLICADO</v>
      </c>
      <c r="P77" s="18" t="s">
        <v>61</v>
      </c>
      <c r="Q77" s="18" t="s">
        <v>425</v>
      </c>
      <c r="R77" s="17"/>
    </row>
    <row r="78" customFormat="false" ht="23.85" hidden="false" customHeight="false" outlineLevel="0" collapsed="false">
      <c r="A78" s="17" t="s">
        <v>51</v>
      </c>
      <c r="B78" s="17" t="s">
        <v>52</v>
      </c>
      <c r="C78" s="17" t="s">
        <v>426</v>
      </c>
      <c r="D78" s="18" t="s">
        <v>427</v>
      </c>
      <c r="E78" s="17" t="s">
        <v>301</v>
      </c>
      <c r="F78" s="19" t="n">
        <v>0</v>
      </c>
      <c r="G78" s="20" t="s">
        <v>55</v>
      </c>
      <c r="H78" s="20" t="s">
        <v>288</v>
      </c>
      <c r="I78" s="20" t="s">
        <v>428</v>
      </c>
      <c r="J78" s="20" t="s">
        <v>429</v>
      </c>
      <c r="K78" s="21" t="str">
        <f aca="false">IF(OR(G78="",H78="",I78=""),"",G78&amp;H78&amp;I78&amp;J78)</f>
        <v>GL10415PT</v>
      </c>
      <c r="L78" s="18" t="s">
        <v>430</v>
      </c>
      <c r="M78" s="18" t="s">
        <v>431</v>
      </c>
      <c r="N78" s="22" t="s">
        <v>6</v>
      </c>
      <c r="O78" s="17" t="str">
        <f aca="false">IF(K78="","",IF(COUNTIF($K$5:$K$327,K78)&gt;1,"DUPLICADO","Único"))</f>
        <v>Único</v>
      </c>
      <c r="P78" s="18" t="s">
        <v>432</v>
      </c>
      <c r="Q78" s="18" t="s">
        <v>433</v>
      </c>
      <c r="R78" s="17"/>
    </row>
    <row r="79" customFormat="false" ht="23.85" hidden="false" customHeight="false" outlineLevel="0" collapsed="false">
      <c r="A79" s="17" t="s">
        <v>434</v>
      </c>
      <c r="B79" s="17" t="s">
        <v>435</v>
      </c>
      <c r="C79" s="17" t="s">
        <v>436</v>
      </c>
      <c r="D79" s="18" t="s">
        <v>437</v>
      </c>
      <c r="E79" s="17" t="s">
        <v>65</v>
      </c>
      <c r="F79" s="19" t="n">
        <v>40</v>
      </c>
      <c r="G79" s="20" t="s">
        <v>434</v>
      </c>
      <c r="H79" s="20" t="s">
        <v>438</v>
      </c>
      <c r="I79" s="20" t="s">
        <v>96</v>
      </c>
      <c r="J79" s="20" t="s">
        <v>439</v>
      </c>
      <c r="K79" s="21" t="str">
        <f aca="false">IF(OR(G79="",H79="",I79=""),"",G79&amp;H79&amp;I79&amp;J79)</f>
        <v>MPFR201AC</v>
      </c>
      <c r="L79" s="18" t="s">
        <v>440</v>
      </c>
      <c r="M79" s="18" t="s">
        <v>441</v>
      </c>
      <c r="N79" s="24" t="s">
        <v>5</v>
      </c>
      <c r="O79" s="17" t="str">
        <f aca="false">IF(K79="","",IF(COUNTIF($K$5:$K$327,K79)&gt;1,"DUPLICADO","Único"))</f>
        <v>Único</v>
      </c>
      <c r="P79" s="18" t="s">
        <v>442</v>
      </c>
      <c r="Q79" s="18"/>
      <c r="R79" s="17"/>
    </row>
    <row r="80" customFormat="false" ht="23.85" hidden="false" customHeight="false" outlineLevel="0" collapsed="false">
      <c r="A80" s="17" t="s">
        <v>434</v>
      </c>
      <c r="B80" s="17" t="s">
        <v>435</v>
      </c>
      <c r="C80" s="17" t="s">
        <v>443</v>
      </c>
      <c r="D80" s="18" t="s">
        <v>444</v>
      </c>
      <c r="E80" s="17" t="s">
        <v>65</v>
      </c>
      <c r="F80" s="19" t="n">
        <v>10</v>
      </c>
      <c r="G80" s="20" t="s">
        <v>434</v>
      </c>
      <c r="H80" s="20" t="s">
        <v>438</v>
      </c>
      <c r="I80" s="20" t="s">
        <v>361</v>
      </c>
      <c r="J80" s="20" t="s">
        <v>445</v>
      </c>
      <c r="K80" s="21" t="str">
        <f aca="false">IF(OR(G80="",H80="",I80=""),"",G80&amp;H80&amp;I80&amp;J80)</f>
        <v>MPFR202CG</v>
      </c>
      <c r="L80" s="18" t="s">
        <v>446</v>
      </c>
      <c r="M80" s="18" t="s">
        <v>447</v>
      </c>
      <c r="N80" s="24" t="s">
        <v>5</v>
      </c>
      <c r="O80" s="17" t="str">
        <f aca="false">IF(K80="","",IF(COUNTIF($K$5:$K$327,K80)&gt;1,"DUPLICADO","Único"))</f>
        <v>Único</v>
      </c>
      <c r="P80" s="18" t="s">
        <v>442</v>
      </c>
      <c r="Q80" s="18"/>
      <c r="R80" s="17"/>
    </row>
    <row r="81" customFormat="false" ht="15" hidden="false" customHeight="false" outlineLevel="0" collapsed="false">
      <c r="A81" s="17" t="s">
        <v>434</v>
      </c>
      <c r="B81" s="17" t="s">
        <v>435</v>
      </c>
      <c r="C81" s="17" t="s">
        <v>448</v>
      </c>
      <c r="D81" s="18" t="s">
        <v>449</v>
      </c>
      <c r="E81" s="17" t="s">
        <v>65</v>
      </c>
      <c r="F81" s="19" t="n">
        <v>37</v>
      </c>
      <c r="G81" s="20" t="s">
        <v>434</v>
      </c>
      <c r="H81" s="20" t="s">
        <v>450</v>
      </c>
      <c r="I81" s="20" t="s">
        <v>210</v>
      </c>
      <c r="J81" s="20" t="s">
        <v>451</v>
      </c>
      <c r="K81" s="21" t="str">
        <f aca="false">IF(OR(G81="",H81="",I81=""),"",G81&amp;H81&amp;I81&amp;J81)</f>
        <v>MPBA301SC</v>
      </c>
      <c r="L81" s="18" t="s">
        <v>452</v>
      </c>
      <c r="M81" s="18" t="s">
        <v>453</v>
      </c>
      <c r="N81" s="22" t="s">
        <v>6</v>
      </c>
      <c r="O81" s="17" t="str">
        <f aca="false">IF(K81="","",IF(COUNTIF($K$5:$K$327,K81)&gt;1,"DUPLICADO","Único"))</f>
        <v>Único</v>
      </c>
      <c r="P81" s="18" t="s">
        <v>454</v>
      </c>
      <c r="Q81" s="18"/>
      <c r="R81" s="17"/>
    </row>
    <row r="82" customFormat="false" ht="23.85" hidden="false" customHeight="false" outlineLevel="0" collapsed="false">
      <c r="A82" s="17" t="s">
        <v>434</v>
      </c>
      <c r="B82" s="17" t="s">
        <v>435</v>
      </c>
      <c r="C82" s="17" t="s">
        <v>455</v>
      </c>
      <c r="D82" s="18" t="s">
        <v>456</v>
      </c>
      <c r="E82" s="17" t="s">
        <v>65</v>
      </c>
      <c r="F82" s="19" t="n">
        <v>14</v>
      </c>
      <c r="G82" s="20" t="s">
        <v>434</v>
      </c>
      <c r="H82" s="20" t="s">
        <v>439</v>
      </c>
      <c r="I82" s="20" t="s">
        <v>246</v>
      </c>
      <c r="J82" s="20" t="s">
        <v>451</v>
      </c>
      <c r="K82" s="21" t="str">
        <f aca="false">IF(OR(G82="",H82="",I82=""),"",G82&amp;H82&amp;I82&amp;J82)</f>
        <v>MPAC401SC</v>
      </c>
      <c r="L82" s="18" t="s">
        <v>457</v>
      </c>
      <c r="M82" s="18" t="s">
        <v>458</v>
      </c>
      <c r="N82" s="22" t="s">
        <v>6</v>
      </c>
      <c r="O82" s="17" t="str">
        <f aca="false">IF(K82="","",IF(COUNTIF($K$5:$K$327,K82)&gt;1,"DUPLICADO","Único"))</f>
        <v>Único</v>
      </c>
      <c r="P82" s="18" t="s">
        <v>454</v>
      </c>
      <c r="Q82" s="18"/>
      <c r="R82" s="17"/>
    </row>
    <row r="83" customFormat="false" ht="23.85" hidden="false" customHeight="false" outlineLevel="0" collapsed="false">
      <c r="A83" s="17" t="s">
        <v>434</v>
      </c>
      <c r="B83" s="17" t="s">
        <v>435</v>
      </c>
      <c r="C83" s="17" t="s">
        <v>459</v>
      </c>
      <c r="D83" s="18" t="s">
        <v>460</v>
      </c>
      <c r="E83" s="17" t="s">
        <v>65</v>
      </c>
      <c r="F83" s="19" t="n">
        <v>72</v>
      </c>
      <c r="G83" s="20" t="s">
        <v>434</v>
      </c>
      <c r="H83" s="20" t="s">
        <v>438</v>
      </c>
      <c r="I83" s="20" t="s">
        <v>461</v>
      </c>
      <c r="J83" s="20" t="s">
        <v>445</v>
      </c>
      <c r="K83" s="21" t="str">
        <f aca="false">IF(OR(G83="",H83="",I83=""),"",G83&amp;H83&amp;I83&amp;J83)</f>
        <v>MPFR276CG</v>
      </c>
      <c r="L83" s="18" t="s">
        <v>462</v>
      </c>
      <c r="M83" s="18" t="s">
        <v>463</v>
      </c>
      <c r="N83" s="22" t="s">
        <v>6</v>
      </c>
      <c r="O83" s="17" t="str">
        <f aca="false">IF(K83="","",IF(COUNTIF($K$5:$K$327,K83)&gt;1,"DUPLICADO","Único"))</f>
        <v>Único</v>
      </c>
      <c r="P83" s="18" t="s">
        <v>454</v>
      </c>
      <c r="Q83" s="18" t="s">
        <v>464</v>
      </c>
      <c r="R83" s="17"/>
    </row>
    <row r="84" customFormat="false" ht="23.85" hidden="false" customHeight="false" outlineLevel="0" collapsed="false">
      <c r="A84" s="17" t="s">
        <v>434</v>
      </c>
      <c r="B84" s="17" t="s">
        <v>435</v>
      </c>
      <c r="C84" s="17" t="s">
        <v>465</v>
      </c>
      <c r="D84" s="18" t="s">
        <v>466</v>
      </c>
      <c r="E84" s="17" t="s">
        <v>65</v>
      </c>
      <c r="F84" s="19" t="n">
        <v>30.4</v>
      </c>
      <c r="G84" s="20" t="s">
        <v>434</v>
      </c>
      <c r="H84" s="20" t="s">
        <v>467</v>
      </c>
      <c r="I84" s="20" t="s">
        <v>468</v>
      </c>
      <c r="J84" s="20" t="s">
        <v>451</v>
      </c>
      <c r="K84" s="21" t="str">
        <f aca="false">IF(OR(G84="",H84="",I84=""),"",G84&amp;H84&amp;I84&amp;J84)</f>
        <v>MPAD700SC</v>
      </c>
      <c r="L84" s="18" t="s">
        <v>469</v>
      </c>
      <c r="M84" s="18" t="s">
        <v>470</v>
      </c>
      <c r="N84" s="22" t="s">
        <v>6</v>
      </c>
      <c r="O84" s="17" t="str">
        <f aca="false">IF(K84="","",IF(COUNTIF($K$5:$K$327,K84)&gt;1,"DUPLICADO","Único"))</f>
        <v>Único</v>
      </c>
      <c r="P84" s="18" t="s">
        <v>471</v>
      </c>
      <c r="Q84" s="18"/>
      <c r="R84" s="17"/>
    </row>
    <row r="85" customFormat="false" ht="15" hidden="false" customHeight="false" outlineLevel="0" collapsed="false">
      <c r="A85" s="17" t="s">
        <v>434</v>
      </c>
      <c r="B85" s="17" t="s">
        <v>435</v>
      </c>
      <c r="C85" s="17" t="s">
        <v>472</v>
      </c>
      <c r="D85" s="18" t="s">
        <v>473</v>
      </c>
      <c r="E85" s="17" t="s">
        <v>65</v>
      </c>
      <c r="F85" s="19" t="n">
        <v>4.5</v>
      </c>
      <c r="G85" s="20" t="s">
        <v>434</v>
      </c>
      <c r="H85" s="20" t="s">
        <v>450</v>
      </c>
      <c r="I85" s="20" t="s">
        <v>474</v>
      </c>
      <c r="J85" s="20" t="s">
        <v>451</v>
      </c>
      <c r="K85" s="21" t="str">
        <f aca="false">IF(OR(G85="",H85="",I85=""),"",G85&amp;H85&amp;I85&amp;J85)</f>
        <v>MPBA302SC</v>
      </c>
      <c r="L85" s="18" t="s">
        <v>475</v>
      </c>
      <c r="M85" s="18" t="s">
        <v>476</v>
      </c>
      <c r="N85" s="22" t="s">
        <v>6</v>
      </c>
      <c r="O85" s="17" t="str">
        <f aca="false">IF(K85="","",IF(COUNTIF($K$5:$K$327,K85)&gt;1,"DUPLICADO","Único"))</f>
        <v>Único</v>
      </c>
      <c r="P85" s="18" t="s">
        <v>454</v>
      </c>
      <c r="Q85" s="18"/>
      <c r="R85" s="17"/>
    </row>
    <row r="86" customFormat="false" ht="15" hidden="false" customHeight="false" outlineLevel="0" collapsed="false">
      <c r="A86" s="17" t="s">
        <v>434</v>
      </c>
      <c r="B86" s="17" t="s">
        <v>435</v>
      </c>
      <c r="C86" s="17" t="s">
        <v>477</v>
      </c>
      <c r="D86" s="18" t="s">
        <v>478</v>
      </c>
      <c r="E86" s="17" t="s">
        <v>65</v>
      </c>
      <c r="F86" s="19" t="n">
        <v>5.25</v>
      </c>
      <c r="G86" s="20" t="s">
        <v>434</v>
      </c>
      <c r="H86" s="20" t="s">
        <v>450</v>
      </c>
      <c r="I86" s="20" t="s">
        <v>479</v>
      </c>
      <c r="J86" s="20" t="s">
        <v>451</v>
      </c>
      <c r="K86" s="21" t="str">
        <f aca="false">IF(OR(G86="",H86="",I86=""),"",G86&amp;H86&amp;I86&amp;J86)</f>
        <v>MPBA303SC</v>
      </c>
      <c r="L86" s="18" t="s">
        <v>480</v>
      </c>
      <c r="M86" s="18" t="s">
        <v>481</v>
      </c>
      <c r="N86" s="22" t="s">
        <v>6</v>
      </c>
      <c r="O86" s="17" t="str">
        <f aca="false">IF(K86="","",IF(COUNTIF($K$5:$K$327,K86)&gt;1,"DUPLICADO","Único"))</f>
        <v>Único</v>
      </c>
      <c r="P86" s="18" t="s">
        <v>454</v>
      </c>
      <c r="Q86" s="18"/>
      <c r="R86" s="17"/>
    </row>
    <row r="87" customFormat="false" ht="15" hidden="false" customHeight="false" outlineLevel="0" collapsed="false">
      <c r="A87" s="17" t="s">
        <v>434</v>
      </c>
      <c r="B87" s="17" t="s">
        <v>435</v>
      </c>
      <c r="C87" s="17" t="s">
        <v>482</v>
      </c>
      <c r="D87" s="18" t="s">
        <v>483</v>
      </c>
      <c r="E87" s="17" t="s">
        <v>65</v>
      </c>
      <c r="F87" s="19" t="n">
        <v>6.3</v>
      </c>
      <c r="G87" s="20" t="s">
        <v>434</v>
      </c>
      <c r="H87" s="20" t="s">
        <v>450</v>
      </c>
      <c r="I87" s="20" t="s">
        <v>484</v>
      </c>
      <c r="J87" s="20" t="s">
        <v>451</v>
      </c>
      <c r="K87" s="21" t="str">
        <f aca="false">IF(OR(G87="",H87="",I87=""),"",G87&amp;H87&amp;I87&amp;J87)</f>
        <v>MPBA304SC</v>
      </c>
      <c r="L87" s="18" t="s">
        <v>485</v>
      </c>
      <c r="M87" s="18" t="s">
        <v>486</v>
      </c>
      <c r="N87" s="22" t="s">
        <v>6</v>
      </c>
      <c r="O87" s="17" t="str">
        <f aca="false">IF(K87="","",IF(COUNTIF($K$5:$K$327,K87)&gt;1,"DUPLICADO","Único"))</f>
        <v>Único</v>
      </c>
      <c r="P87" s="18" t="s">
        <v>454</v>
      </c>
      <c r="Q87" s="18"/>
      <c r="R87" s="17"/>
    </row>
    <row r="88" customFormat="false" ht="23.85" hidden="false" customHeight="false" outlineLevel="0" collapsed="false">
      <c r="A88" s="17" t="s">
        <v>434</v>
      </c>
      <c r="B88" s="17" t="s">
        <v>435</v>
      </c>
      <c r="C88" s="17" t="s">
        <v>487</v>
      </c>
      <c r="D88" s="18" t="s">
        <v>488</v>
      </c>
      <c r="E88" s="17" t="s">
        <v>65</v>
      </c>
      <c r="F88" s="19" t="n">
        <v>59</v>
      </c>
      <c r="G88" s="20" t="s">
        <v>434</v>
      </c>
      <c r="H88" s="20" t="s">
        <v>439</v>
      </c>
      <c r="I88" s="20" t="s">
        <v>264</v>
      </c>
      <c r="J88" s="20" t="s">
        <v>451</v>
      </c>
      <c r="K88" s="21" t="str">
        <f aca="false">IF(OR(G88="",H88="",I88=""),"",G88&amp;H88&amp;I88&amp;J88)</f>
        <v>MPAC402SC</v>
      </c>
      <c r="L88" s="18" t="s">
        <v>489</v>
      </c>
      <c r="M88" s="18" t="s">
        <v>490</v>
      </c>
      <c r="N88" s="22" t="s">
        <v>6</v>
      </c>
      <c r="O88" s="17" t="str">
        <f aca="false">IF(K88="","",IF(COUNTIF($K$5:$K$327,K88)&gt;1,"DUPLICADO","Único"))</f>
        <v>Único</v>
      </c>
      <c r="P88" s="18" t="s">
        <v>454</v>
      </c>
      <c r="Q88" s="18"/>
      <c r="R88" s="17"/>
    </row>
    <row r="89" customFormat="false" ht="23.85" hidden="false" customHeight="false" outlineLevel="0" collapsed="false">
      <c r="A89" s="17" t="s">
        <v>434</v>
      </c>
      <c r="B89" s="17" t="s">
        <v>435</v>
      </c>
      <c r="C89" s="17" t="s">
        <v>491</v>
      </c>
      <c r="D89" s="18" t="s">
        <v>492</v>
      </c>
      <c r="E89" s="17" t="s">
        <v>65</v>
      </c>
      <c r="F89" s="19" t="n">
        <v>0</v>
      </c>
      <c r="G89" s="20" t="s">
        <v>434</v>
      </c>
      <c r="H89" s="20" t="s">
        <v>439</v>
      </c>
      <c r="I89" s="20" t="s">
        <v>493</v>
      </c>
      <c r="J89" s="20" t="s">
        <v>451</v>
      </c>
      <c r="K89" s="21" t="str">
        <f aca="false">IF(OR(G89="",H89="",I89=""),"",G89&amp;H89&amp;I89&amp;J89)</f>
        <v>MPAC403SC</v>
      </c>
      <c r="L89" s="18" t="s">
        <v>494</v>
      </c>
      <c r="M89" s="18" t="s">
        <v>495</v>
      </c>
      <c r="N89" s="22" t="s">
        <v>6</v>
      </c>
      <c r="O89" s="17" t="str">
        <f aca="false">IF(K89="","",IF(COUNTIF($K$5:$K$327,K89)&gt;1,"DUPLICADO","Único"))</f>
        <v>Único</v>
      </c>
      <c r="P89" s="18" t="s">
        <v>454</v>
      </c>
      <c r="Q89" s="18"/>
      <c r="R89" s="17"/>
    </row>
    <row r="90" customFormat="false" ht="23.85" hidden="false" customHeight="false" outlineLevel="0" collapsed="false">
      <c r="A90" s="17" t="s">
        <v>434</v>
      </c>
      <c r="B90" s="17" t="s">
        <v>435</v>
      </c>
      <c r="C90" s="17" t="s">
        <v>496</v>
      </c>
      <c r="D90" s="18" t="s">
        <v>497</v>
      </c>
      <c r="E90" s="17" t="s">
        <v>65</v>
      </c>
      <c r="F90" s="19" t="n">
        <v>50</v>
      </c>
      <c r="G90" s="20" t="s">
        <v>434</v>
      </c>
      <c r="H90" s="20" t="s">
        <v>439</v>
      </c>
      <c r="I90" s="20" t="s">
        <v>230</v>
      </c>
      <c r="J90" s="20" t="s">
        <v>451</v>
      </c>
      <c r="K90" s="21" t="str">
        <f aca="false">IF(OR(G90="",H90="",I90=""),"",G90&amp;H90&amp;I90&amp;J90)</f>
        <v>MPAC404SC</v>
      </c>
      <c r="L90" s="18" t="s">
        <v>498</v>
      </c>
      <c r="M90" s="18" t="s">
        <v>499</v>
      </c>
      <c r="N90" s="22" t="s">
        <v>6</v>
      </c>
      <c r="O90" s="17" t="str">
        <f aca="false">IF(K90="","",IF(COUNTIF($K$5:$K$327,K90)&gt;1,"DUPLICADO","Único"))</f>
        <v>Único</v>
      </c>
      <c r="P90" s="18" t="s">
        <v>454</v>
      </c>
      <c r="Q90" s="18"/>
      <c r="R90" s="17"/>
    </row>
    <row r="91" customFormat="false" ht="23.85" hidden="false" customHeight="false" outlineLevel="0" collapsed="false">
      <c r="A91" s="17" t="s">
        <v>434</v>
      </c>
      <c r="B91" s="17" t="s">
        <v>435</v>
      </c>
      <c r="C91" s="17" t="s">
        <v>500</v>
      </c>
      <c r="D91" s="18" t="s">
        <v>501</v>
      </c>
      <c r="E91" s="17" t="s">
        <v>65</v>
      </c>
      <c r="F91" s="19" t="n">
        <v>0.283</v>
      </c>
      <c r="G91" s="20" t="s">
        <v>434</v>
      </c>
      <c r="H91" s="20" t="s">
        <v>467</v>
      </c>
      <c r="I91" s="20" t="s">
        <v>502</v>
      </c>
      <c r="J91" s="20" t="s">
        <v>451</v>
      </c>
      <c r="K91" s="21" t="str">
        <f aca="false">IF(OR(G91="",H91="",I91=""),"",G91&amp;H91&amp;I91&amp;J91)</f>
        <v>MPAD701SC</v>
      </c>
      <c r="L91" s="18" t="s">
        <v>503</v>
      </c>
      <c r="M91" s="18" t="s">
        <v>504</v>
      </c>
      <c r="N91" s="22" t="s">
        <v>6</v>
      </c>
      <c r="O91" s="17" t="str">
        <f aca="false">IF(K91="","",IF(COUNTIF($K$5:$K$327,K91)&gt;1,"DUPLICADO","Único"))</f>
        <v>Único</v>
      </c>
      <c r="P91" s="18" t="s">
        <v>471</v>
      </c>
      <c r="Q91" s="18"/>
      <c r="R91" s="17"/>
    </row>
    <row r="92" customFormat="false" ht="23.85" hidden="false" customHeight="false" outlineLevel="0" collapsed="false">
      <c r="A92" s="17" t="s">
        <v>434</v>
      </c>
      <c r="B92" s="17" t="s">
        <v>435</v>
      </c>
      <c r="C92" s="17" t="s">
        <v>505</v>
      </c>
      <c r="D92" s="18" t="s">
        <v>506</v>
      </c>
      <c r="E92" s="17" t="s">
        <v>65</v>
      </c>
      <c r="F92" s="19" t="n">
        <v>4.1</v>
      </c>
      <c r="G92" s="20" t="s">
        <v>434</v>
      </c>
      <c r="H92" s="20" t="s">
        <v>439</v>
      </c>
      <c r="I92" s="20" t="s">
        <v>507</v>
      </c>
      <c r="J92" s="20" t="s">
        <v>451</v>
      </c>
      <c r="K92" s="21" t="str">
        <f aca="false">IF(OR(G92="",H92="",I92=""),"",G92&amp;H92&amp;I92&amp;J92)</f>
        <v>MPAC405SC</v>
      </c>
      <c r="L92" s="18" t="s">
        <v>508</v>
      </c>
      <c r="M92" s="18" t="s">
        <v>509</v>
      </c>
      <c r="N92" s="22" t="s">
        <v>6</v>
      </c>
      <c r="O92" s="17" t="str">
        <f aca="false">IF(K92="","",IF(COUNTIF($K$5:$K$327,K92)&gt;1,"DUPLICADO","Único"))</f>
        <v>Único</v>
      </c>
      <c r="P92" s="18" t="s">
        <v>454</v>
      </c>
      <c r="Q92" s="18"/>
      <c r="R92" s="17"/>
    </row>
    <row r="93" customFormat="false" ht="23.85" hidden="false" customHeight="false" outlineLevel="0" collapsed="false">
      <c r="A93" s="17" t="s">
        <v>434</v>
      </c>
      <c r="B93" s="17" t="s">
        <v>435</v>
      </c>
      <c r="C93" s="17" t="s">
        <v>510</v>
      </c>
      <c r="D93" s="18" t="s">
        <v>511</v>
      </c>
      <c r="E93" s="17" t="s">
        <v>65</v>
      </c>
      <c r="F93" s="19" t="n">
        <v>94.5</v>
      </c>
      <c r="G93" s="20" t="s">
        <v>434</v>
      </c>
      <c r="H93" s="20" t="s">
        <v>439</v>
      </c>
      <c r="I93" s="20" t="s">
        <v>269</v>
      </c>
      <c r="J93" s="20" t="s">
        <v>451</v>
      </c>
      <c r="K93" s="21" t="str">
        <f aca="false">IF(OR(G93="",H93="",I93=""),"",G93&amp;H93&amp;I93&amp;J93)</f>
        <v>MPAC406SC</v>
      </c>
      <c r="L93" s="18" t="s">
        <v>512</v>
      </c>
      <c r="M93" s="18" t="s">
        <v>513</v>
      </c>
      <c r="N93" s="22" t="s">
        <v>6</v>
      </c>
      <c r="O93" s="17" t="str">
        <f aca="false">IF(K93="","",IF(COUNTIF($K$5:$K$327,K93)&gt;1,"DUPLICADO","Único"))</f>
        <v>Único</v>
      </c>
      <c r="P93" s="18" t="s">
        <v>454</v>
      </c>
      <c r="Q93" s="18"/>
      <c r="R93" s="17"/>
    </row>
    <row r="94" customFormat="false" ht="23.85" hidden="false" customHeight="false" outlineLevel="0" collapsed="false">
      <c r="A94" s="17" t="s">
        <v>434</v>
      </c>
      <c r="B94" s="17" t="s">
        <v>435</v>
      </c>
      <c r="C94" s="17" t="s">
        <v>514</v>
      </c>
      <c r="D94" s="18" t="s">
        <v>515</v>
      </c>
      <c r="E94" s="17" t="s">
        <v>65</v>
      </c>
      <c r="F94" s="19" t="n">
        <v>63</v>
      </c>
      <c r="G94" s="20" t="s">
        <v>434</v>
      </c>
      <c r="H94" s="20" t="s">
        <v>439</v>
      </c>
      <c r="I94" s="20" t="s">
        <v>236</v>
      </c>
      <c r="J94" s="20" t="s">
        <v>451</v>
      </c>
      <c r="K94" s="21" t="str">
        <f aca="false">IF(OR(G94="",H94="",I94=""),"",G94&amp;H94&amp;I94&amp;J94)</f>
        <v>MPAC407SC</v>
      </c>
      <c r="L94" s="18" t="s">
        <v>516</v>
      </c>
      <c r="M94" s="18" t="s">
        <v>517</v>
      </c>
      <c r="N94" s="22" t="s">
        <v>6</v>
      </c>
      <c r="O94" s="17" t="str">
        <f aca="false">IF(K94="","",IF(COUNTIF($K$5:$K$327,K94)&gt;1,"DUPLICADO","Único"))</f>
        <v>Único</v>
      </c>
      <c r="P94" s="18" t="s">
        <v>454</v>
      </c>
      <c r="Q94" s="18"/>
      <c r="R94" s="17"/>
    </row>
    <row r="95" customFormat="false" ht="23.85" hidden="false" customHeight="false" outlineLevel="0" collapsed="false">
      <c r="A95" s="17" t="s">
        <v>434</v>
      </c>
      <c r="B95" s="17" t="s">
        <v>435</v>
      </c>
      <c r="C95" s="17" t="s">
        <v>518</v>
      </c>
      <c r="D95" s="18" t="s">
        <v>519</v>
      </c>
      <c r="E95" s="17" t="s">
        <v>65</v>
      </c>
      <c r="F95" s="19" t="n">
        <v>8.2</v>
      </c>
      <c r="G95" s="20" t="s">
        <v>434</v>
      </c>
      <c r="H95" s="20" t="s">
        <v>439</v>
      </c>
      <c r="I95" s="20" t="s">
        <v>279</v>
      </c>
      <c r="J95" s="20" t="s">
        <v>451</v>
      </c>
      <c r="K95" s="21" t="str">
        <f aca="false">IF(OR(G95="",H95="",I95=""),"",G95&amp;H95&amp;I95&amp;J95)</f>
        <v>MPAC408SC</v>
      </c>
      <c r="L95" s="18" t="s">
        <v>520</v>
      </c>
      <c r="M95" s="18" t="s">
        <v>521</v>
      </c>
      <c r="N95" s="22" t="s">
        <v>6</v>
      </c>
      <c r="O95" s="17" t="str">
        <f aca="false">IF(K95="","",IF(COUNTIF($K$5:$K$327,K95)&gt;1,"DUPLICADO","Único"))</f>
        <v>Único</v>
      </c>
      <c r="P95" s="18" t="s">
        <v>454</v>
      </c>
      <c r="Q95" s="18"/>
      <c r="R95" s="17"/>
    </row>
    <row r="96" customFormat="false" ht="23.85" hidden="false" customHeight="false" outlineLevel="0" collapsed="false">
      <c r="A96" s="17" t="s">
        <v>434</v>
      </c>
      <c r="B96" s="17" t="s">
        <v>435</v>
      </c>
      <c r="C96" s="17" t="s">
        <v>522</v>
      </c>
      <c r="D96" s="18" t="s">
        <v>523</v>
      </c>
      <c r="E96" s="17" t="s">
        <v>65</v>
      </c>
      <c r="F96" s="19" t="n">
        <v>22.55</v>
      </c>
      <c r="G96" s="20" t="s">
        <v>434</v>
      </c>
      <c r="H96" s="20" t="s">
        <v>439</v>
      </c>
      <c r="I96" s="20" t="s">
        <v>524</v>
      </c>
      <c r="J96" s="20" t="s">
        <v>451</v>
      </c>
      <c r="K96" s="21" t="str">
        <f aca="false">IF(OR(G96="",H96="",I96=""),"",G96&amp;H96&amp;I96&amp;J96)</f>
        <v>MPAC409SC</v>
      </c>
      <c r="L96" s="18" t="s">
        <v>525</v>
      </c>
      <c r="M96" s="18" t="s">
        <v>526</v>
      </c>
      <c r="N96" s="22" t="s">
        <v>6</v>
      </c>
      <c r="O96" s="17" t="str">
        <f aca="false">IF(K96="","",IF(COUNTIF($K$5:$K$327,K96)&gt;1,"DUPLICADO","Único"))</f>
        <v>Único</v>
      </c>
      <c r="P96" s="18" t="s">
        <v>454</v>
      </c>
      <c r="Q96" s="18"/>
      <c r="R96" s="17"/>
    </row>
    <row r="97" customFormat="false" ht="23.85" hidden="false" customHeight="false" outlineLevel="0" collapsed="false">
      <c r="A97" s="17" t="s">
        <v>434</v>
      </c>
      <c r="B97" s="17" t="s">
        <v>435</v>
      </c>
      <c r="C97" s="17" t="s">
        <v>527</v>
      </c>
      <c r="D97" s="18" t="s">
        <v>528</v>
      </c>
      <c r="E97" s="17" t="s">
        <v>65</v>
      </c>
      <c r="F97" s="19" t="n">
        <v>36</v>
      </c>
      <c r="G97" s="20" t="s">
        <v>434</v>
      </c>
      <c r="H97" s="20" t="s">
        <v>529</v>
      </c>
      <c r="I97" s="20" t="s">
        <v>530</v>
      </c>
      <c r="J97" s="20" t="s">
        <v>531</v>
      </c>
      <c r="K97" s="21" t="str">
        <f aca="false">IF(OR(G97="",H97="",I97=""),"",G97&amp;H97&amp;I97&amp;J97)</f>
        <v>MPOV500RF</v>
      </c>
      <c r="L97" s="18" t="s">
        <v>532</v>
      </c>
      <c r="M97" s="18" t="s">
        <v>533</v>
      </c>
      <c r="N97" s="22" t="s">
        <v>6</v>
      </c>
      <c r="O97" s="17" t="str">
        <f aca="false">IF(K97="","",IF(COUNTIF($K$5:$K$327,K97)&gt;1,"DUPLICADO","Único"))</f>
        <v>Único</v>
      </c>
      <c r="P97" s="18" t="s">
        <v>471</v>
      </c>
      <c r="Q97" s="18"/>
      <c r="R97" s="17"/>
    </row>
    <row r="98" customFormat="false" ht="23.85" hidden="false" customHeight="false" outlineLevel="0" collapsed="false">
      <c r="A98" s="17" t="s">
        <v>434</v>
      </c>
      <c r="B98" s="17" t="s">
        <v>435</v>
      </c>
      <c r="C98" s="17" t="s">
        <v>534</v>
      </c>
      <c r="D98" s="18" t="s">
        <v>535</v>
      </c>
      <c r="E98" s="17" t="s">
        <v>65</v>
      </c>
      <c r="F98" s="19" t="n">
        <v>72</v>
      </c>
      <c r="G98" s="20" t="s">
        <v>434</v>
      </c>
      <c r="H98" s="20" t="s">
        <v>439</v>
      </c>
      <c r="I98" s="20" t="s">
        <v>536</v>
      </c>
      <c r="J98" s="20" t="s">
        <v>451</v>
      </c>
      <c r="K98" s="21" t="str">
        <f aca="false">IF(OR(G98="",H98="",I98=""),"",G98&amp;H98&amp;I98&amp;J98)</f>
        <v>MPAC410SC</v>
      </c>
      <c r="L98" s="18" t="s">
        <v>537</v>
      </c>
      <c r="M98" s="18" t="s">
        <v>538</v>
      </c>
      <c r="N98" s="22" t="s">
        <v>6</v>
      </c>
      <c r="O98" s="17" t="str">
        <f aca="false">IF(K98="","",IF(COUNTIF($K$5:$K$327,K98)&gt;1,"DUPLICADO","Único"))</f>
        <v>Único</v>
      </c>
      <c r="P98" s="18" t="s">
        <v>454</v>
      </c>
      <c r="Q98" s="18"/>
      <c r="R98" s="17"/>
    </row>
    <row r="99" customFormat="false" ht="23.85" hidden="false" customHeight="false" outlineLevel="0" collapsed="false">
      <c r="A99" s="17" t="s">
        <v>434</v>
      </c>
      <c r="B99" s="17" t="s">
        <v>435</v>
      </c>
      <c r="C99" s="17" t="s">
        <v>539</v>
      </c>
      <c r="D99" s="18" t="s">
        <v>540</v>
      </c>
      <c r="E99" s="17" t="s">
        <v>65</v>
      </c>
      <c r="F99" s="19" t="n">
        <v>156</v>
      </c>
      <c r="G99" s="20" t="s">
        <v>434</v>
      </c>
      <c r="H99" s="20" t="s">
        <v>439</v>
      </c>
      <c r="I99" s="20" t="s">
        <v>541</v>
      </c>
      <c r="J99" s="20" t="s">
        <v>451</v>
      </c>
      <c r="K99" s="21" t="str">
        <f aca="false">IF(OR(G99="",H99="",I99=""),"",G99&amp;H99&amp;I99&amp;J99)</f>
        <v>MPAC411SC</v>
      </c>
      <c r="L99" s="18" t="s">
        <v>542</v>
      </c>
      <c r="M99" s="18" t="s">
        <v>543</v>
      </c>
      <c r="N99" s="22" t="s">
        <v>6</v>
      </c>
      <c r="O99" s="17" t="str">
        <f aca="false">IF(K99="","",IF(COUNTIF($K$5:$K$327,K99)&gt;1,"DUPLICADO","Único"))</f>
        <v>Único</v>
      </c>
      <c r="P99" s="18" t="s">
        <v>454</v>
      </c>
      <c r="Q99" s="18"/>
      <c r="R99" s="17"/>
    </row>
    <row r="100" customFormat="false" ht="23.85" hidden="false" customHeight="false" outlineLevel="0" collapsed="false">
      <c r="A100" s="17" t="s">
        <v>434</v>
      </c>
      <c r="B100" s="17" t="s">
        <v>435</v>
      </c>
      <c r="C100" s="17" t="s">
        <v>544</v>
      </c>
      <c r="D100" s="18" t="s">
        <v>545</v>
      </c>
      <c r="E100" s="17" t="s">
        <v>65</v>
      </c>
      <c r="F100" s="19" t="n">
        <v>25</v>
      </c>
      <c r="G100" s="20" t="s">
        <v>434</v>
      </c>
      <c r="H100" s="20" t="s">
        <v>439</v>
      </c>
      <c r="I100" s="20" t="s">
        <v>546</v>
      </c>
      <c r="J100" s="20" t="s">
        <v>451</v>
      </c>
      <c r="K100" s="21" t="str">
        <f aca="false">IF(OR(G100="",H100="",I100=""),"",G100&amp;H100&amp;I100&amp;J100)</f>
        <v>MPAC412SC</v>
      </c>
      <c r="L100" s="18" t="s">
        <v>547</v>
      </c>
      <c r="M100" s="18" t="s">
        <v>548</v>
      </c>
      <c r="N100" s="22" t="s">
        <v>6</v>
      </c>
      <c r="O100" s="17" t="str">
        <f aca="false">IF(K100="","",IF(COUNTIF($K$5:$K$327,K100)&gt;1,"DUPLICADO","Único"))</f>
        <v>Único</v>
      </c>
      <c r="P100" s="18" t="s">
        <v>454</v>
      </c>
      <c r="Q100" s="18"/>
      <c r="R100" s="17"/>
    </row>
    <row r="101" customFormat="false" ht="23.85" hidden="false" customHeight="false" outlineLevel="0" collapsed="false">
      <c r="A101" s="17" t="s">
        <v>434</v>
      </c>
      <c r="B101" s="17" t="s">
        <v>435</v>
      </c>
      <c r="C101" s="17" t="s">
        <v>549</v>
      </c>
      <c r="D101" s="18" t="s">
        <v>550</v>
      </c>
      <c r="E101" s="17" t="s">
        <v>65</v>
      </c>
      <c r="F101" s="19" t="n">
        <v>5.828</v>
      </c>
      <c r="G101" s="20" t="s">
        <v>434</v>
      </c>
      <c r="H101" s="20" t="s">
        <v>438</v>
      </c>
      <c r="I101" s="20" t="s">
        <v>551</v>
      </c>
      <c r="J101" s="20" t="s">
        <v>531</v>
      </c>
      <c r="K101" s="21" t="str">
        <f aca="false">IF(OR(G101="",H101="",I101=""),"",G101&amp;H101&amp;I101&amp;J101)</f>
        <v>MPFR277RF</v>
      </c>
      <c r="L101" s="18" t="s">
        <v>552</v>
      </c>
      <c r="M101" s="18" t="s">
        <v>553</v>
      </c>
      <c r="N101" s="22" t="s">
        <v>6</v>
      </c>
      <c r="O101" s="17" t="str">
        <f aca="false">IF(K101="","",IF(COUNTIF($K$5:$K$327,K101)&gt;1,"DUPLICADO","Único"))</f>
        <v>Único</v>
      </c>
      <c r="P101" s="18" t="s">
        <v>454</v>
      </c>
      <c r="Q101" s="18" t="s">
        <v>554</v>
      </c>
      <c r="R101" s="17"/>
    </row>
    <row r="102" customFormat="false" ht="15" hidden="false" customHeight="false" outlineLevel="0" collapsed="false">
      <c r="A102" s="17" t="s">
        <v>434</v>
      </c>
      <c r="B102" s="17" t="s">
        <v>435</v>
      </c>
      <c r="C102" s="17" t="s">
        <v>555</v>
      </c>
      <c r="D102" s="18" t="s">
        <v>556</v>
      </c>
      <c r="E102" s="17" t="s">
        <v>557</v>
      </c>
      <c r="F102" s="19" t="n">
        <v>5</v>
      </c>
      <c r="G102" s="20" t="s">
        <v>434</v>
      </c>
      <c r="H102" s="20" t="s">
        <v>438</v>
      </c>
      <c r="I102" s="20" t="s">
        <v>558</v>
      </c>
      <c r="J102" s="20" t="s">
        <v>439</v>
      </c>
      <c r="K102" s="21" t="str">
        <f aca="false">IF(OR(G102="",H102="",I102=""),"",G102&amp;H102&amp;I102&amp;J102)</f>
        <v>MPFR278AC</v>
      </c>
      <c r="L102" s="18" t="s">
        <v>559</v>
      </c>
      <c r="M102" s="18" t="s">
        <v>560</v>
      </c>
      <c r="N102" s="22" t="s">
        <v>6</v>
      </c>
      <c r="O102" s="17" t="str">
        <f aca="false">IF(K102="","",IF(COUNTIF($K$5:$K$327,K102)&gt;1,"DUPLICADO","Único"))</f>
        <v>Único</v>
      </c>
      <c r="P102" s="18" t="s">
        <v>454</v>
      </c>
      <c r="Q102" s="18" t="s">
        <v>554</v>
      </c>
      <c r="R102" s="17"/>
    </row>
    <row r="103" customFormat="false" ht="23.85" hidden="false" customHeight="false" outlineLevel="0" collapsed="false">
      <c r="A103" s="17" t="s">
        <v>434</v>
      </c>
      <c r="B103" s="17" t="s">
        <v>435</v>
      </c>
      <c r="C103" s="17" t="s">
        <v>561</v>
      </c>
      <c r="D103" s="18" t="s">
        <v>562</v>
      </c>
      <c r="E103" s="17" t="s">
        <v>65</v>
      </c>
      <c r="F103" s="19" t="n">
        <v>13.5</v>
      </c>
      <c r="G103" s="20" t="s">
        <v>434</v>
      </c>
      <c r="H103" s="20" t="s">
        <v>563</v>
      </c>
      <c r="I103" s="20" t="s">
        <v>225</v>
      </c>
      <c r="J103" s="20" t="s">
        <v>531</v>
      </c>
      <c r="K103" s="21" t="str">
        <f aca="false">IF(OR(G103="",H103="",I103=""),"",G103&amp;H103&amp;I103&amp;J103)</f>
        <v>MPLT101RF</v>
      </c>
      <c r="L103" s="18" t="s">
        <v>564</v>
      </c>
      <c r="M103" s="18" t="s">
        <v>565</v>
      </c>
      <c r="N103" s="22" t="s">
        <v>6</v>
      </c>
      <c r="O103" s="17" t="str">
        <f aca="false">IF(K103="","",IF(COUNTIF($K$5:$K$327,K103)&gt;1,"DUPLICADO","Único"))</f>
        <v>Único</v>
      </c>
      <c r="P103" s="18" t="s">
        <v>454</v>
      </c>
      <c r="Q103" s="18"/>
      <c r="R103" s="17"/>
    </row>
    <row r="104" customFormat="false" ht="23.85" hidden="false" customHeight="false" outlineLevel="0" collapsed="false">
      <c r="A104" s="17" t="s">
        <v>434</v>
      </c>
      <c r="B104" s="17" t="s">
        <v>435</v>
      </c>
      <c r="C104" s="17" t="s">
        <v>566</v>
      </c>
      <c r="D104" s="18" t="s">
        <v>567</v>
      </c>
      <c r="E104" s="17" t="s">
        <v>568</v>
      </c>
      <c r="F104" s="19" t="n">
        <v>78.169</v>
      </c>
      <c r="G104" s="20" t="s">
        <v>434</v>
      </c>
      <c r="H104" s="20" t="s">
        <v>563</v>
      </c>
      <c r="I104" s="20" t="s">
        <v>56</v>
      </c>
      <c r="J104" s="20" t="s">
        <v>531</v>
      </c>
      <c r="K104" s="21" t="str">
        <f aca="false">IF(OR(G104="",H104="",I104=""),"",G104&amp;H104&amp;I104&amp;J104)</f>
        <v>MPLT102RF</v>
      </c>
      <c r="L104" s="18" t="s">
        <v>569</v>
      </c>
      <c r="M104" s="18" t="s">
        <v>570</v>
      </c>
      <c r="N104" s="22" t="s">
        <v>6</v>
      </c>
      <c r="O104" s="17" t="str">
        <f aca="false">IF(K104="","",IF(COUNTIF($K$5:$K$327,K104)&gt;1,"DUPLICADO","Único"))</f>
        <v>Único</v>
      </c>
      <c r="P104" s="18" t="s">
        <v>454</v>
      </c>
      <c r="Q104" s="18"/>
      <c r="R104" s="17"/>
    </row>
    <row r="105" customFormat="false" ht="23.85" hidden="false" customHeight="false" outlineLevel="0" collapsed="false">
      <c r="A105" s="17" t="s">
        <v>434</v>
      </c>
      <c r="B105" s="17" t="s">
        <v>435</v>
      </c>
      <c r="C105" s="17" t="s">
        <v>571</v>
      </c>
      <c r="D105" s="18" t="s">
        <v>572</v>
      </c>
      <c r="E105" s="17" t="s">
        <v>65</v>
      </c>
      <c r="F105" s="19" t="n">
        <v>18</v>
      </c>
      <c r="G105" s="20" t="s">
        <v>434</v>
      </c>
      <c r="H105" s="20" t="s">
        <v>439</v>
      </c>
      <c r="I105" s="20" t="s">
        <v>573</v>
      </c>
      <c r="J105" s="20" t="s">
        <v>451</v>
      </c>
      <c r="K105" s="21" t="str">
        <f aca="false">IF(OR(G105="",H105="",I105=""),"",G105&amp;H105&amp;I105&amp;J105)</f>
        <v>MPAC413SC</v>
      </c>
      <c r="L105" s="18" t="s">
        <v>574</v>
      </c>
      <c r="M105" s="18" t="s">
        <v>575</v>
      </c>
      <c r="N105" s="22" t="s">
        <v>6</v>
      </c>
      <c r="O105" s="17" t="str">
        <f aca="false">IF(K105="","",IF(COUNTIF($K$5:$K$327,K105)&gt;1,"DUPLICADO","Único"))</f>
        <v>Único</v>
      </c>
      <c r="P105" s="18" t="s">
        <v>454</v>
      </c>
      <c r="Q105" s="18"/>
      <c r="R105" s="17"/>
    </row>
    <row r="106" customFormat="false" ht="23.85" hidden="false" customHeight="false" outlineLevel="0" collapsed="false">
      <c r="A106" s="17" t="s">
        <v>434</v>
      </c>
      <c r="B106" s="17" t="s">
        <v>435</v>
      </c>
      <c r="C106" s="17" t="s">
        <v>576</v>
      </c>
      <c r="D106" s="18" t="s">
        <v>577</v>
      </c>
      <c r="E106" s="17" t="s">
        <v>65</v>
      </c>
      <c r="F106" s="19" t="n">
        <v>20</v>
      </c>
      <c r="G106" s="20" t="s">
        <v>434</v>
      </c>
      <c r="H106" s="20" t="s">
        <v>439</v>
      </c>
      <c r="I106" s="20" t="s">
        <v>578</v>
      </c>
      <c r="J106" s="20" t="s">
        <v>451</v>
      </c>
      <c r="K106" s="21" t="str">
        <f aca="false">IF(OR(G106="",H106="",I106=""),"",G106&amp;H106&amp;I106&amp;J106)</f>
        <v>MPAC414SC</v>
      </c>
      <c r="L106" s="18" t="s">
        <v>579</v>
      </c>
      <c r="M106" s="18" t="s">
        <v>580</v>
      </c>
      <c r="N106" s="22" t="s">
        <v>6</v>
      </c>
      <c r="O106" s="17" t="str">
        <f aca="false">IF(K106="","",IF(COUNTIF($K$5:$K$327,K106)&gt;1,"DUPLICADO","Único"))</f>
        <v>Único</v>
      </c>
      <c r="P106" s="18" t="s">
        <v>454</v>
      </c>
      <c r="Q106" s="18"/>
      <c r="R106" s="17"/>
    </row>
    <row r="107" customFormat="false" ht="23.85" hidden="false" customHeight="false" outlineLevel="0" collapsed="false">
      <c r="A107" s="17" t="s">
        <v>434</v>
      </c>
      <c r="B107" s="17" t="s">
        <v>435</v>
      </c>
      <c r="C107" s="17" t="s">
        <v>581</v>
      </c>
      <c r="D107" s="18" t="s">
        <v>582</v>
      </c>
      <c r="E107" s="17" t="s">
        <v>65</v>
      </c>
      <c r="F107" s="19" t="n">
        <v>58</v>
      </c>
      <c r="G107" s="20" t="s">
        <v>434</v>
      </c>
      <c r="H107" s="20" t="s">
        <v>439</v>
      </c>
      <c r="I107" s="20" t="s">
        <v>583</v>
      </c>
      <c r="J107" s="20" t="s">
        <v>451</v>
      </c>
      <c r="K107" s="21" t="str">
        <f aca="false">IF(OR(G107="",H107="",I107=""),"",G107&amp;H107&amp;I107&amp;J107)</f>
        <v>MPAC415SC</v>
      </c>
      <c r="L107" s="18" t="s">
        <v>584</v>
      </c>
      <c r="M107" s="18" t="s">
        <v>585</v>
      </c>
      <c r="N107" s="22" t="s">
        <v>6</v>
      </c>
      <c r="O107" s="17" t="str">
        <f aca="false">IF(K107="","",IF(COUNTIF($K$5:$K$327,K107)&gt;1,"DUPLICADO","Único"))</f>
        <v>Único</v>
      </c>
      <c r="P107" s="18" t="s">
        <v>454</v>
      </c>
      <c r="Q107" s="18"/>
      <c r="R107" s="17"/>
    </row>
    <row r="108" customFormat="false" ht="23.85" hidden="false" customHeight="false" outlineLevel="0" collapsed="false">
      <c r="A108" s="17" t="s">
        <v>434</v>
      </c>
      <c r="B108" s="17" t="s">
        <v>435</v>
      </c>
      <c r="C108" s="17" t="s">
        <v>586</v>
      </c>
      <c r="D108" s="18" t="s">
        <v>587</v>
      </c>
      <c r="E108" s="17" t="s">
        <v>65</v>
      </c>
      <c r="F108" s="19" t="n">
        <v>49.5</v>
      </c>
      <c r="G108" s="20" t="s">
        <v>434</v>
      </c>
      <c r="H108" s="20" t="s">
        <v>439</v>
      </c>
      <c r="I108" s="20" t="s">
        <v>588</v>
      </c>
      <c r="J108" s="20" t="s">
        <v>451</v>
      </c>
      <c r="K108" s="21" t="str">
        <f aca="false">IF(OR(G108="",H108="",I108=""),"",G108&amp;H108&amp;I108&amp;J108)</f>
        <v>MPAC416SC</v>
      </c>
      <c r="L108" s="18" t="s">
        <v>589</v>
      </c>
      <c r="M108" s="18" t="s">
        <v>590</v>
      </c>
      <c r="N108" s="22" t="s">
        <v>6</v>
      </c>
      <c r="O108" s="17" t="str">
        <f aca="false">IF(K108="","",IF(COUNTIF($K$5:$K$327,K108)&gt;1,"DUPLICADO","Único"))</f>
        <v>Único</v>
      </c>
      <c r="P108" s="18" t="s">
        <v>454</v>
      </c>
      <c r="Q108" s="18"/>
      <c r="R108" s="17"/>
    </row>
    <row r="109" customFormat="false" ht="23.85" hidden="false" customHeight="false" outlineLevel="0" collapsed="false">
      <c r="A109" s="17" t="s">
        <v>434</v>
      </c>
      <c r="B109" s="17" t="s">
        <v>435</v>
      </c>
      <c r="C109" s="17" t="s">
        <v>591</v>
      </c>
      <c r="D109" s="18" t="s">
        <v>592</v>
      </c>
      <c r="E109" s="17" t="s">
        <v>65</v>
      </c>
      <c r="F109" s="19" t="n">
        <v>11</v>
      </c>
      <c r="G109" s="20" t="s">
        <v>434</v>
      </c>
      <c r="H109" s="20" t="s">
        <v>439</v>
      </c>
      <c r="I109" s="20" t="s">
        <v>593</v>
      </c>
      <c r="J109" s="20" t="s">
        <v>451</v>
      </c>
      <c r="K109" s="21" t="str">
        <f aca="false">IF(OR(G109="",H109="",I109=""),"",G109&amp;H109&amp;I109&amp;J109)</f>
        <v>MPAC417SC</v>
      </c>
      <c r="L109" s="18" t="s">
        <v>594</v>
      </c>
      <c r="M109" s="18" t="s">
        <v>595</v>
      </c>
      <c r="N109" s="22" t="s">
        <v>6</v>
      </c>
      <c r="O109" s="17" t="str">
        <f aca="false">IF(K109="","",IF(COUNTIF($K$5:$K$327,K109)&gt;1,"DUPLICADO","Único"))</f>
        <v>Único</v>
      </c>
      <c r="P109" s="18" t="s">
        <v>454</v>
      </c>
      <c r="Q109" s="18"/>
      <c r="R109" s="17"/>
    </row>
    <row r="110" customFormat="false" ht="23.85" hidden="false" customHeight="false" outlineLevel="0" collapsed="false">
      <c r="A110" s="17" t="s">
        <v>434</v>
      </c>
      <c r="B110" s="17" t="s">
        <v>435</v>
      </c>
      <c r="C110" s="17" t="s">
        <v>596</v>
      </c>
      <c r="D110" s="18" t="s">
        <v>597</v>
      </c>
      <c r="E110" s="17" t="s">
        <v>65</v>
      </c>
      <c r="F110" s="19" t="n">
        <v>175</v>
      </c>
      <c r="G110" s="20" t="s">
        <v>434</v>
      </c>
      <c r="H110" s="20" t="s">
        <v>450</v>
      </c>
      <c r="I110" s="20" t="s">
        <v>255</v>
      </c>
      <c r="J110" s="20" t="s">
        <v>451</v>
      </c>
      <c r="K110" s="21" t="str">
        <f aca="false">IF(OR(G110="",H110="",I110=""),"",G110&amp;H110&amp;I110&amp;J110)</f>
        <v>MPBA300SC</v>
      </c>
      <c r="L110" s="18" t="s">
        <v>598</v>
      </c>
      <c r="M110" s="18" t="s">
        <v>599</v>
      </c>
      <c r="N110" s="24" t="s">
        <v>5</v>
      </c>
      <c r="O110" s="17" t="str">
        <f aca="false">IF(K110="","",IF(COUNTIF($K$5:$K$327,K110)&gt;1,"DUPLICADO","Único"))</f>
        <v>Único</v>
      </c>
      <c r="P110" s="18" t="s">
        <v>442</v>
      </c>
      <c r="Q110" s="18" t="s">
        <v>600</v>
      </c>
      <c r="R110" s="17"/>
    </row>
    <row r="111" customFormat="false" ht="15" hidden="false" customHeight="false" outlineLevel="0" collapsed="false">
      <c r="A111" s="17" t="s">
        <v>434</v>
      </c>
      <c r="B111" s="17" t="s">
        <v>435</v>
      </c>
      <c r="C111" s="17" t="s">
        <v>601</v>
      </c>
      <c r="D111" s="18" t="s">
        <v>85</v>
      </c>
      <c r="E111" s="17" t="s">
        <v>65</v>
      </c>
      <c r="F111" s="19" t="n">
        <v>235.2</v>
      </c>
      <c r="G111" s="20" t="s">
        <v>434</v>
      </c>
      <c r="H111" s="20" t="s">
        <v>563</v>
      </c>
      <c r="I111" s="20" t="s">
        <v>71</v>
      </c>
      <c r="J111" s="20" t="s">
        <v>451</v>
      </c>
      <c r="K111" s="21" t="str">
        <f aca="false">IF(OR(G111="",H111="",I111=""),"",G111&amp;H111&amp;I111&amp;J111)</f>
        <v>MPLT103SC</v>
      </c>
      <c r="L111" s="18" t="s">
        <v>602</v>
      </c>
      <c r="M111" s="18" t="s">
        <v>603</v>
      </c>
      <c r="N111" s="22" t="s">
        <v>6</v>
      </c>
      <c r="O111" s="17" t="str">
        <f aca="false">IF(K111="","",IF(COUNTIF($K$5:$K$327,K111)&gt;1,"DUPLICADO","Único"))</f>
        <v>Único</v>
      </c>
      <c r="P111" s="18" t="s">
        <v>454</v>
      </c>
      <c r="Q111" s="18"/>
      <c r="R111" s="17"/>
    </row>
    <row r="112" customFormat="false" ht="23.85" hidden="false" customHeight="false" outlineLevel="0" collapsed="false">
      <c r="A112" s="17" t="s">
        <v>434</v>
      </c>
      <c r="B112" s="17" t="s">
        <v>435</v>
      </c>
      <c r="C112" s="17" t="s">
        <v>604</v>
      </c>
      <c r="D112" s="18" t="s">
        <v>605</v>
      </c>
      <c r="E112" s="17" t="s">
        <v>568</v>
      </c>
      <c r="F112" s="19" t="n">
        <v>1.9</v>
      </c>
      <c r="G112" s="20" t="s">
        <v>434</v>
      </c>
      <c r="H112" s="20" t="s">
        <v>467</v>
      </c>
      <c r="I112" s="20" t="s">
        <v>606</v>
      </c>
      <c r="J112" s="20" t="s">
        <v>451</v>
      </c>
      <c r="K112" s="21" t="str">
        <f aca="false">IF(OR(G112="",H112="",I112=""),"",G112&amp;H112&amp;I112&amp;J112)</f>
        <v>MPAD702SC</v>
      </c>
      <c r="L112" s="18" t="s">
        <v>607</v>
      </c>
      <c r="M112" s="18" t="s">
        <v>608</v>
      </c>
      <c r="N112" s="22" t="s">
        <v>6</v>
      </c>
      <c r="O112" s="17" t="str">
        <f aca="false">IF(K112="","",IF(COUNTIF($K$5:$K$327,K112)&gt;1,"DUPLICADO","Único"))</f>
        <v>Único</v>
      </c>
      <c r="P112" s="18" t="s">
        <v>471</v>
      </c>
      <c r="Q112" s="18"/>
      <c r="R112" s="17"/>
    </row>
    <row r="113" customFormat="false" ht="15" hidden="false" customHeight="false" outlineLevel="0" collapsed="false">
      <c r="A113" s="17" t="s">
        <v>434</v>
      </c>
      <c r="B113" s="17" t="s">
        <v>435</v>
      </c>
      <c r="C113" s="17" t="s">
        <v>609</v>
      </c>
      <c r="D113" s="18" t="s">
        <v>610</v>
      </c>
      <c r="E113" s="17" t="s">
        <v>65</v>
      </c>
      <c r="F113" s="19" t="n">
        <v>0</v>
      </c>
      <c r="G113" s="20" t="s">
        <v>434</v>
      </c>
      <c r="H113" s="20" t="s">
        <v>450</v>
      </c>
      <c r="I113" s="20" t="s">
        <v>611</v>
      </c>
      <c r="J113" s="20" t="s">
        <v>451</v>
      </c>
      <c r="K113" s="21" t="str">
        <f aca="false">IF(OR(G113="",H113="",I113=""),"",G113&amp;H113&amp;I113&amp;J113)</f>
        <v>MPBA305SC</v>
      </c>
      <c r="L113" s="18" t="s">
        <v>612</v>
      </c>
      <c r="M113" s="18" t="s">
        <v>613</v>
      </c>
      <c r="N113" s="22" t="s">
        <v>6</v>
      </c>
      <c r="O113" s="17" t="str">
        <f aca="false">IF(K113="","",IF(COUNTIF($K$5:$K$327,K113)&gt;1,"DUPLICADO","Único"))</f>
        <v>Único</v>
      </c>
      <c r="P113" s="18" t="s">
        <v>454</v>
      </c>
      <c r="Q113" s="18"/>
      <c r="R113" s="17"/>
    </row>
    <row r="114" customFormat="false" ht="23.85" hidden="false" customHeight="false" outlineLevel="0" collapsed="false">
      <c r="A114" s="17" t="s">
        <v>434</v>
      </c>
      <c r="B114" s="17" t="s">
        <v>435</v>
      </c>
      <c r="C114" s="17" t="s">
        <v>614</v>
      </c>
      <c r="D114" s="18" t="s">
        <v>615</v>
      </c>
      <c r="E114" s="17" t="s">
        <v>65</v>
      </c>
      <c r="F114" s="19" t="n">
        <v>1.5</v>
      </c>
      <c r="G114" s="20" t="s">
        <v>434</v>
      </c>
      <c r="H114" s="20" t="s">
        <v>616</v>
      </c>
      <c r="I114" s="20" t="s">
        <v>617</v>
      </c>
      <c r="J114" s="20" t="s">
        <v>451</v>
      </c>
      <c r="K114" s="21" t="str">
        <f aca="false">IF(OR(G114="",H114="",I114=""),"",G114&amp;H114&amp;I114&amp;J114)</f>
        <v>MPCE800SC</v>
      </c>
      <c r="L114" s="18" t="s">
        <v>618</v>
      </c>
      <c r="M114" s="18" t="s">
        <v>619</v>
      </c>
      <c r="N114" s="22" t="s">
        <v>6</v>
      </c>
      <c r="O114" s="17" t="str">
        <f aca="false">IF(K114="","",IF(COUNTIF($K$5:$K$327,K114)&gt;1,"DUPLICADO","Único"))</f>
        <v>Único</v>
      </c>
      <c r="P114" s="18" t="s">
        <v>471</v>
      </c>
      <c r="Q114" s="18"/>
      <c r="R114" s="17"/>
    </row>
    <row r="115" customFormat="false" ht="23.85" hidden="false" customHeight="false" outlineLevel="0" collapsed="false">
      <c r="A115" s="17" t="s">
        <v>434</v>
      </c>
      <c r="B115" s="17" t="s">
        <v>435</v>
      </c>
      <c r="C115" s="17" t="s">
        <v>620</v>
      </c>
      <c r="D115" s="18" t="s">
        <v>621</v>
      </c>
      <c r="E115" s="17" t="s">
        <v>65</v>
      </c>
      <c r="F115" s="19" t="n">
        <v>13</v>
      </c>
      <c r="G115" s="20" t="s">
        <v>434</v>
      </c>
      <c r="H115" s="20" t="s">
        <v>616</v>
      </c>
      <c r="I115" s="20" t="s">
        <v>622</v>
      </c>
      <c r="J115" s="20" t="s">
        <v>451</v>
      </c>
      <c r="K115" s="21" t="str">
        <f aca="false">IF(OR(G115="",H115="",I115=""),"",G115&amp;H115&amp;I115&amp;J115)</f>
        <v>MPCE801SC</v>
      </c>
      <c r="L115" s="18" t="s">
        <v>623</v>
      </c>
      <c r="M115" s="18" t="s">
        <v>624</v>
      </c>
      <c r="N115" s="22" t="s">
        <v>6</v>
      </c>
      <c r="O115" s="17" t="str">
        <f aca="false">IF(K115="","",IF(COUNTIF($K$5:$K$327,K115)&gt;1,"DUPLICADO","Único"))</f>
        <v>Único</v>
      </c>
      <c r="P115" s="18" t="s">
        <v>471</v>
      </c>
      <c r="Q115" s="18"/>
      <c r="R115" s="17"/>
    </row>
    <row r="116" customFormat="false" ht="23.85" hidden="false" customHeight="false" outlineLevel="0" collapsed="false">
      <c r="A116" s="17" t="s">
        <v>434</v>
      </c>
      <c r="B116" s="17" t="s">
        <v>435</v>
      </c>
      <c r="C116" s="17" t="s">
        <v>625</v>
      </c>
      <c r="D116" s="18" t="s">
        <v>626</v>
      </c>
      <c r="E116" s="17" t="s">
        <v>65</v>
      </c>
      <c r="F116" s="19" t="n">
        <v>3</v>
      </c>
      <c r="G116" s="20" t="s">
        <v>434</v>
      </c>
      <c r="H116" s="20" t="s">
        <v>467</v>
      </c>
      <c r="I116" s="20" t="s">
        <v>627</v>
      </c>
      <c r="J116" s="20" t="s">
        <v>451</v>
      </c>
      <c r="K116" s="21" t="str">
        <f aca="false">IF(OR(G116="",H116="",I116=""),"",G116&amp;H116&amp;I116&amp;J116)</f>
        <v>MPAD703SC</v>
      </c>
      <c r="L116" s="18" t="s">
        <v>628</v>
      </c>
      <c r="M116" s="18" t="s">
        <v>629</v>
      </c>
      <c r="N116" s="22" t="s">
        <v>6</v>
      </c>
      <c r="O116" s="17" t="str">
        <f aca="false">IF(K116="","",IF(COUNTIF($K$5:$K$327,K116)&gt;1,"DUPLICADO","Único"))</f>
        <v>Único</v>
      </c>
      <c r="P116" s="18" t="s">
        <v>471</v>
      </c>
      <c r="Q116" s="18"/>
      <c r="R116" s="17"/>
    </row>
    <row r="117" customFormat="false" ht="23.85" hidden="false" customHeight="false" outlineLevel="0" collapsed="false">
      <c r="A117" s="17" t="s">
        <v>434</v>
      </c>
      <c r="B117" s="17" t="s">
        <v>435</v>
      </c>
      <c r="C117" s="17" t="s">
        <v>630</v>
      </c>
      <c r="D117" s="18" t="s">
        <v>631</v>
      </c>
      <c r="E117" s="17" t="s">
        <v>65</v>
      </c>
      <c r="F117" s="19" t="n">
        <v>56</v>
      </c>
      <c r="G117" s="20" t="s">
        <v>434</v>
      </c>
      <c r="H117" s="20" t="s">
        <v>438</v>
      </c>
      <c r="I117" s="20" t="s">
        <v>632</v>
      </c>
      <c r="J117" s="20" t="s">
        <v>445</v>
      </c>
      <c r="K117" s="21" t="str">
        <f aca="false">IF(OR(G117="",H117="",I117=""),"",G117&amp;H117&amp;I117&amp;J117)</f>
        <v>MPFR220CG</v>
      </c>
      <c r="L117" s="18" t="s">
        <v>633</v>
      </c>
      <c r="M117" s="18" t="s">
        <v>634</v>
      </c>
      <c r="N117" s="24" t="s">
        <v>5</v>
      </c>
      <c r="O117" s="17" t="str">
        <f aca="false">IF(K117="","",IF(COUNTIF($K$5:$K$327,K117)&gt;1,"DUPLICADO","Único"))</f>
        <v>Único</v>
      </c>
      <c r="P117" s="18" t="s">
        <v>442</v>
      </c>
      <c r="Q117" s="18"/>
      <c r="R117" s="17"/>
    </row>
    <row r="118" customFormat="false" ht="23.85" hidden="false" customHeight="false" outlineLevel="0" collapsed="false">
      <c r="A118" s="17" t="s">
        <v>434</v>
      </c>
      <c r="B118" s="17" t="s">
        <v>435</v>
      </c>
      <c r="C118" s="17" t="s">
        <v>635</v>
      </c>
      <c r="D118" s="18" t="s">
        <v>636</v>
      </c>
      <c r="E118" s="17" t="s">
        <v>65</v>
      </c>
      <c r="F118" s="19" t="n">
        <v>325</v>
      </c>
      <c r="G118" s="20" t="s">
        <v>434</v>
      </c>
      <c r="H118" s="20" t="s">
        <v>450</v>
      </c>
      <c r="I118" s="20" t="s">
        <v>637</v>
      </c>
      <c r="J118" s="20" t="s">
        <v>451</v>
      </c>
      <c r="K118" s="21" t="str">
        <f aca="false">IF(OR(G118="",H118="",I118=""),"",G118&amp;H118&amp;I118&amp;J118)</f>
        <v>MPBA306SC</v>
      </c>
      <c r="L118" s="18" t="s">
        <v>638</v>
      </c>
      <c r="M118" s="18" t="s">
        <v>639</v>
      </c>
      <c r="N118" s="22" t="s">
        <v>6</v>
      </c>
      <c r="O118" s="17" t="str">
        <f aca="false">IF(K118="","",IF(COUNTIF($K$5:$K$327,K118)&gt;1,"DUPLICADO","Único"))</f>
        <v>Único</v>
      </c>
      <c r="P118" s="18" t="s">
        <v>454</v>
      </c>
      <c r="Q118" s="18"/>
      <c r="R118" s="17"/>
    </row>
    <row r="119" customFormat="false" ht="23.85" hidden="false" customHeight="false" outlineLevel="0" collapsed="false">
      <c r="A119" s="17" t="s">
        <v>434</v>
      </c>
      <c r="B119" s="17" t="s">
        <v>435</v>
      </c>
      <c r="C119" s="17" t="s">
        <v>640</v>
      </c>
      <c r="D119" s="18" t="s">
        <v>641</v>
      </c>
      <c r="E119" s="17" t="s">
        <v>65</v>
      </c>
      <c r="F119" s="19" t="n">
        <v>6</v>
      </c>
      <c r="G119" s="20" t="s">
        <v>434</v>
      </c>
      <c r="H119" s="20" t="s">
        <v>439</v>
      </c>
      <c r="I119" s="20" t="s">
        <v>642</v>
      </c>
      <c r="J119" s="20" t="s">
        <v>451</v>
      </c>
      <c r="K119" s="21" t="str">
        <f aca="false">IF(OR(G119="",H119="",I119=""),"",G119&amp;H119&amp;I119&amp;J119)</f>
        <v>MPAC418SC</v>
      </c>
      <c r="L119" s="18" t="s">
        <v>643</v>
      </c>
      <c r="M119" s="18" t="s">
        <v>644</v>
      </c>
      <c r="N119" s="22" t="s">
        <v>6</v>
      </c>
      <c r="O119" s="17" t="str">
        <f aca="false">IF(K119="","",IF(COUNTIF($K$5:$K$327,K119)&gt;1,"DUPLICADO","Único"))</f>
        <v>Único</v>
      </c>
      <c r="P119" s="18" t="s">
        <v>454</v>
      </c>
      <c r="Q119" s="18"/>
      <c r="R119" s="17"/>
    </row>
    <row r="120" customFormat="false" ht="15" hidden="false" customHeight="false" outlineLevel="0" collapsed="false">
      <c r="A120" s="17" t="s">
        <v>434</v>
      </c>
      <c r="B120" s="17" t="s">
        <v>435</v>
      </c>
      <c r="C120" s="17" t="s">
        <v>645</v>
      </c>
      <c r="D120" s="18" t="s">
        <v>646</v>
      </c>
      <c r="E120" s="17" t="s">
        <v>65</v>
      </c>
      <c r="F120" s="19" t="n">
        <v>1</v>
      </c>
      <c r="G120" s="20" t="s">
        <v>434</v>
      </c>
      <c r="H120" s="20" t="s">
        <v>439</v>
      </c>
      <c r="I120" s="20" t="s">
        <v>647</v>
      </c>
      <c r="J120" s="20" t="s">
        <v>451</v>
      </c>
      <c r="K120" s="21" t="str">
        <f aca="false">IF(OR(G120="",H120="",I120=""),"",G120&amp;H120&amp;I120&amp;J120)</f>
        <v>MPAC419SC</v>
      </c>
      <c r="L120" s="18" t="s">
        <v>648</v>
      </c>
      <c r="M120" s="18" t="s">
        <v>649</v>
      </c>
      <c r="N120" s="22" t="s">
        <v>6</v>
      </c>
      <c r="O120" s="17" t="str">
        <f aca="false">IF(K120="","",IF(COUNTIF($K$5:$K$327,K120)&gt;1,"DUPLICADO","Único"))</f>
        <v>Único</v>
      </c>
      <c r="P120" s="18" t="s">
        <v>454</v>
      </c>
      <c r="Q120" s="18"/>
      <c r="R120" s="17"/>
    </row>
    <row r="121" customFormat="false" ht="23.85" hidden="false" customHeight="false" outlineLevel="0" collapsed="false">
      <c r="A121" s="17" t="s">
        <v>434</v>
      </c>
      <c r="B121" s="17" t="s">
        <v>435</v>
      </c>
      <c r="C121" s="17" t="s">
        <v>650</v>
      </c>
      <c r="D121" s="18" t="s">
        <v>651</v>
      </c>
      <c r="E121" s="17" t="s">
        <v>65</v>
      </c>
      <c r="F121" s="19" t="n">
        <v>3.3</v>
      </c>
      <c r="G121" s="20" t="s">
        <v>434</v>
      </c>
      <c r="H121" s="20" t="s">
        <v>439</v>
      </c>
      <c r="I121" s="20" t="s">
        <v>652</v>
      </c>
      <c r="J121" s="20" t="s">
        <v>451</v>
      </c>
      <c r="K121" s="21" t="str">
        <f aca="false">IF(OR(G121="",H121="",I121=""),"",G121&amp;H121&amp;I121&amp;J121)</f>
        <v>MPAC420SC</v>
      </c>
      <c r="L121" s="18" t="s">
        <v>653</v>
      </c>
      <c r="M121" s="18" t="s">
        <v>654</v>
      </c>
      <c r="N121" s="22" t="s">
        <v>6</v>
      </c>
      <c r="O121" s="17" t="str">
        <f aca="false">IF(K121="","",IF(COUNTIF($K$5:$K$327,K121)&gt;1,"DUPLICADO","Único"))</f>
        <v>Único</v>
      </c>
      <c r="P121" s="18" t="s">
        <v>454</v>
      </c>
      <c r="Q121" s="18"/>
      <c r="R121" s="17"/>
    </row>
    <row r="122" customFormat="false" ht="23.85" hidden="false" customHeight="false" outlineLevel="0" collapsed="false">
      <c r="A122" s="17" t="s">
        <v>434</v>
      </c>
      <c r="B122" s="17" t="s">
        <v>435</v>
      </c>
      <c r="C122" s="17" t="s">
        <v>655</v>
      </c>
      <c r="D122" s="18" t="s">
        <v>656</v>
      </c>
      <c r="E122" s="17" t="s">
        <v>65</v>
      </c>
      <c r="F122" s="19" t="n">
        <v>26.4</v>
      </c>
      <c r="G122" s="20" t="s">
        <v>434</v>
      </c>
      <c r="H122" s="20" t="s">
        <v>438</v>
      </c>
      <c r="I122" s="20" t="s">
        <v>657</v>
      </c>
      <c r="J122" s="20" t="s">
        <v>439</v>
      </c>
      <c r="K122" s="21" t="str">
        <f aca="false">IF(OR(G122="",H122="",I122=""),"",G122&amp;H122&amp;I122&amp;J122)</f>
        <v>MPFR235AC</v>
      </c>
      <c r="L122" s="18" t="s">
        <v>658</v>
      </c>
      <c r="M122" s="18" t="s">
        <v>659</v>
      </c>
      <c r="N122" s="24" t="s">
        <v>5</v>
      </c>
      <c r="O122" s="17" t="str">
        <f aca="false">IF(K122="","",IF(COUNTIF($K$5:$K$327,K122)&gt;1,"DUPLICADO","Único"))</f>
        <v>Único</v>
      </c>
      <c r="P122" s="18" t="s">
        <v>442</v>
      </c>
      <c r="Q122" s="18"/>
      <c r="R122" s="17"/>
    </row>
    <row r="123" customFormat="false" ht="23.85" hidden="false" customHeight="false" outlineLevel="0" collapsed="false">
      <c r="A123" s="17" t="s">
        <v>434</v>
      </c>
      <c r="B123" s="17" t="s">
        <v>435</v>
      </c>
      <c r="C123" s="17" t="s">
        <v>660</v>
      </c>
      <c r="D123" s="18" t="s">
        <v>661</v>
      </c>
      <c r="E123" s="17" t="s">
        <v>65</v>
      </c>
      <c r="F123" s="19" t="n">
        <v>143.78</v>
      </c>
      <c r="G123" s="20" t="s">
        <v>434</v>
      </c>
      <c r="H123" s="20" t="s">
        <v>563</v>
      </c>
      <c r="I123" s="20" t="s">
        <v>288</v>
      </c>
      <c r="J123" s="20" t="s">
        <v>451</v>
      </c>
      <c r="K123" s="21" t="str">
        <f aca="false">IF(OR(G123="",H123="",I123=""),"",G123&amp;H123&amp;I123&amp;J123)</f>
        <v>MPLT104SC</v>
      </c>
      <c r="L123" s="18" t="s">
        <v>662</v>
      </c>
      <c r="M123" s="18" t="s">
        <v>663</v>
      </c>
      <c r="N123" s="22" t="s">
        <v>6</v>
      </c>
      <c r="O123" s="17" t="str">
        <f aca="false">IF(K123="","",IF(COUNTIF($K$5:$K$327,K123)&gt;1,"DUPLICADO","Único"))</f>
        <v>Único</v>
      </c>
      <c r="P123" s="18" t="s">
        <v>454</v>
      </c>
      <c r="Q123" s="18"/>
      <c r="R123" s="17"/>
    </row>
    <row r="124" customFormat="false" ht="15" hidden="false" customHeight="false" outlineLevel="0" collapsed="false">
      <c r="A124" s="17" t="s">
        <v>434</v>
      </c>
      <c r="B124" s="17" t="s">
        <v>435</v>
      </c>
      <c r="C124" s="17" t="s">
        <v>664</v>
      </c>
      <c r="D124" s="18" t="s">
        <v>665</v>
      </c>
      <c r="E124" s="17" t="s">
        <v>568</v>
      </c>
      <c r="F124" s="19" t="n">
        <v>109</v>
      </c>
      <c r="G124" s="20" t="s">
        <v>434</v>
      </c>
      <c r="H124" s="20" t="s">
        <v>438</v>
      </c>
      <c r="I124" s="20" t="s">
        <v>666</v>
      </c>
      <c r="J124" s="20" t="s">
        <v>451</v>
      </c>
      <c r="K124" s="21" t="str">
        <f aca="false">IF(OR(G124="",H124="",I124=""),"",G124&amp;H124&amp;I124&amp;J124)</f>
        <v>MPFR279SC</v>
      </c>
      <c r="L124" s="18" t="s">
        <v>667</v>
      </c>
      <c r="M124" s="18" t="s">
        <v>668</v>
      </c>
      <c r="N124" s="22" t="s">
        <v>6</v>
      </c>
      <c r="O124" s="17" t="str">
        <f aca="false">IF(K124="","",IF(COUNTIF($K$5:$K$327,K124)&gt;1,"DUPLICADO","Único"))</f>
        <v>Único</v>
      </c>
      <c r="P124" s="18" t="s">
        <v>454</v>
      </c>
      <c r="Q124" s="18" t="s">
        <v>554</v>
      </c>
      <c r="R124" s="17"/>
    </row>
    <row r="125" customFormat="false" ht="23.85" hidden="false" customHeight="false" outlineLevel="0" collapsed="false">
      <c r="A125" s="17" t="s">
        <v>434</v>
      </c>
      <c r="B125" s="17" t="s">
        <v>435</v>
      </c>
      <c r="C125" s="17" t="s">
        <v>669</v>
      </c>
      <c r="D125" s="18" t="s">
        <v>670</v>
      </c>
      <c r="E125" s="17" t="s">
        <v>65</v>
      </c>
      <c r="F125" s="19" t="n">
        <v>250</v>
      </c>
      <c r="G125" s="20" t="s">
        <v>434</v>
      </c>
      <c r="H125" s="20" t="s">
        <v>563</v>
      </c>
      <c r="I125" s="20" t="s">
        <v>76</v>
      </c>
      <c r="J125" s="20" t="s">
        <v>451</v>
      </c>
      <c r="K125" s="21" t="str">
        <f aca="false">IF(OR(G125="",H125="",I125=""),"",G125&amp;H125&amp;I125&amp;J125)</f>
        <v>MPLT105SC</v>
      </c>
      <c r="L125" s="18" t="s">
        <v>671</v>
      </c>
      <c r="M125" s="18" t="s">
        <v>672</v>
      </c>
      <c r="N125" s="22" t="s">
        <v>6</v>
      </c>
      <c r="O125" s="17" t="str">
        <f aca="false">IF(K125="","",IF(COUNTIF($K$5:$K$327,K125)&gt;1,"DUPLICADO","Único"))</f>
        <v>Único</v>
      </c>
      <c r="P125" s="18" t="s">
        <v>454</v>
      </c>
      <c r="Q125" s="18"/>
      <c r="R125" s="17"/>
    </row>
    <row r="126" customFormat="false" ht="23.85" hidden="false" customHeight="false" outlineLevel="0" collapsed="false">
      <c r="A126" s="17" t="s">
        <v>434</v>
      </c>
      <c r="B126" s="17" t="s">
        <v>435</v>
      </c>
      <c r="C126" s="17" t="s">
        <v>673</v>
      </c>
      <c r="D126" s="18" t="s">
        <v>674</v>
      </c>
      <c r="E126" s="17" t="s">
        <v>65</v>
      </c>
      <c r="F126" s="19" t="n">
        <v>50</v>
      </c>
      <c r="G126" s="20" t="s">
        <v>434</v>
      </c>
      <c r="H126" s="20" t="s">
        <v>563</v>
      </c>
      <c r="I126" s="20" t="s">
        <v>66</v>
      </c>
      <c r="J126" s="20" t="s">
        <v>451</v>
      </c>
      <c r="K126" s="21" t="str">
        <f aca="false">IF(OR(G126="",H126="",I126=""),"",G126&amp;H126&amp;I126&amp;J126)</f>
        <v>MPLT106SC</v>
      </c>
      <c r="L126" s="18" t="s">
        <v>675</v>
      </c>
      <c r="M126" s="18" t="s">
        <v>676</v>
      </c>
      <c r="N126" s="22" t="s">
        <v>6</v>
      </c>
      <c r="O126" s="17" t="str">
        <f aca="false">IF(K126="","",IF(COUNTIF($K$5:$K$327,K126)&gt;1,"DUPLICADO","Único"))</f>
        <v>Único</v>
      </c>
      <c r="P126" s="18" t="s">
        <v>454</v>
      </c>
      <c r="Q126" s="18"/>
      <c r="R126" s="17"/>
    </row>
    <row r="127" customFormat="false" ht="23.85" hidden="false" customHeight="false" outlineLevel="0" collapsed="false">
      <c r="A127" s="17" t="s">
        <v>434</v>
      </c>
      <c r="B127" s="17" t="s">
        <v>435</v>
      </c>
      <c r="C127" s="17" t="s">
        <v>677</v>
      </c>
      <c r="D127" s="18" t="s">
        <v>678</v>
      </c>
      <c r="E127" s="17" t="s">
        <v>65</v>
      </c>
      <c r="F127" s="19" t="n">
        <v>2.3</v>
      </c>
      <c r="G127" s="20" t="s">
        <v>434</v>
      </c>
      <c r="H127" s="20" t="s">
        <v>563</v>
      </c>
      <c r="I127" s="20" t="s">
        <v>81</v>
      </c>
      <c r="J127" s="20" t="s">
        <v>451</v>
      </c>
      <c r="K127" s="21" t="str">
        <f aca="false">IF(OR(G127="",H127="",I127=""),"",G127&amp;H127&amp;I127&amp;J127)</f>
        <v>MPLT107SC</v>
      </c>
      <c r="L127" s="18" t="s">
        <v>679</v>
      </c>
      <c r="M127" s="18" t="s">
        <v>680</v>
      </c>
      <c r="N127" s="22" t="s">
        <v>6</v>
      </c>
      <c r="O127" s="17" t="str">
        <f aca="false">IF(K127="","",IF(COUNTIF($K$5:$K$327,K127)&gt;1,"DUPLICADO","Único"))</f>
        <v>Único</v>
      </c>
      <c r="P127" s="18" t="s">
        <v>454</v>
      </c>
      <c r="Q127" s="18"/>
      <c r="R127" s="17"/>
    </row>
    <row r="128" customFormat="false" ht="23.85" hidden="false" customHeight="false" outlineLevel="0" collapsed="false">
      <c r="A128" s="17" t="s">
        <v>434</v>
      </c>
      <c r="B128" s="17" t="s">
        <v>435</v>
      </c>
      <c r="C128" s="17" t="s">
        <v>681</v>
      </c>
      <c r="D128" s="18" t="s">
        <v>682</v>
      </c>
      <c r="E128" s="17" t="s">
        <v>568</v>
      </c>
      <c r="F128" s="19" t="n">
        <v>675</v>
      </c>
      <c r="G128" s="20" t="s">
        <v>434</v>
      </c>
      <c r="H128" s="20" t="s">
        <v>563</v>
      </c>
      <c r="I128" s="20" t="s">
        <v>220</v>
      </c>
      <c r="J128" s="20" t="s">
        <v>531</v>
      </c>
      <c r="K128" s="21" t="str">
        <f aca="false">IF(OR(G128="",H128="",I128=""),"",G128&amp;H128&amp;I128&amp;J128)</f>
        <v>MPLT100RF</v>
      </c>
      <c r="L128" s="18" t="s">
        <v>683</v>
      </c>
      <c r="M128" s="18" t="s">
        <v>684</v>
      </c>
      <c r="N128" s="24" t="s">
        <v>5</v>
      </c>
      <c r="O128" s="17" t="str">
        <f aca="false">IF(K128="","",IF(COUNTIF($K$5:$K$327,K128)&gt;1,"DUPLICADO","Único"))</f>
        <v>Único</v>
      </c>
      <c r="P128" s="18" t="s">
        <v>442</v>
      </c>
      <c r="Q128" s="18" t="s">
        <v>600</v>
      </c>
      <c r="R128" s="17"/>
    </row>
    <row r="129" customFormat="false" ht="23.85" hidden="false" customHeight="false" outlineLevel="0" collapsed="false">
      <c r="A129" s="17" t="s">
        <v>434</v>
      </c>
      <c r="B129" s="17" t="s">
        <v>435</v>
      </c>
      <c r="C129" s="17" t="s">
        <v>685</v>
      </c>
      <c r="D129" s="18" t="s">
        <v>686</v>
      </c>
      <c r="E129" s="17" t="s">
        <v>65</v>
      </c>
      <c r="F129" s="19" t="n">
        <v>30</v>
      </c>
      <c r="G129" s="20" t="s">
        <v>434</v>
      </c>
      <c r="H129" s="20" t="s">
        <v>438</v>
      </c>
      <c r="I129" s="20" t="s">
        <v>687</v>
      </c>
      <c r="J129" s="20" t="s">
        <v>439</v>
      </c>
      <c r="K129" s="21" t="str">
        <f aca="false">IF(OR(G129="",H129="",I129=""),"",G129&amp;H129&amp;I129&amp;J129)</f>
        <v>MPFR238AC</v>
      </c>
      <c r="L129" s="18" t="s">
        <v>688</v>
      </c>
      <c r="M129" s="18" t="s">
        <v>689</v>
      </c>
      <c r="N129" s="24" t="s">
        <v>5</v>
      </c>
      <c r="O129" s="17" t="str">
        <f aca="false">IF(K129="","",IF(COUNTIF($K$5:$K$327,K129)&gt;1,"DUPLICADO","Único"))</f>
        <v>Único</v>
      </c>
      <c r="P129" s="18" t="s">
        <v>442</v>
      </c>
      <c r="Q129" s="18"/>
      <c r="R129" s="17"/>
    </row>
    <row r="130" customFormat="false" ht="23.85" hidden="false" customHeight="false" outlineLevel="0" collapsed="false">
      <c r="A130" s="17" t="s">
        <v>434</v>
      </c>
      <c r="B130" s="17" t="s">
        <v>435</v>
      </c>
      <c r="C130" s="17" t="s">
        <v>690</v>
      </c>
      <c r="D130" s="18" t="s">
        <v>691</v>
      </c>
      <c r="E130" s="17" t="s">
        <v>557</v>
      </c>
      <c r="F130" s="19" t="n">
        <v>3</v>
      </c>
      <c r="G130" s="20" t="s">
        <v>434</v>
      </c>
      <c r="H130" s="20" t="s">
        <v>438</v>
      </c>
      <c r="I130" s="20" t="s">
        <v>692</v>
      </c>
      <c r="J130" s="20" t="s">
        <v>439</v>
      </c>
      <c r="K130" s="21" t="str">
        <f aca="false">IF(OR(G130="",H130="",I130=""),"",G130&amp;H130&amp;I130&amp;J130)</f>
        <v>MPFR280AC</v>
      </c>
      <c r="L130" s="18" t="s">
        <v>693</v>
      </c>
      <c r="M130" s="18" t="s">
        <v>694</v>
      </c>
      <c r="N130" s="22" t="s">
        <v>6</v>
      </c>
      <c r="O130" s="17" t="str">
        <f aca="false">IF(K130="","",IF(COUNTIF($K$5:$K$327,K130)&gt;1,"DUPLICADO","Único"))</f>
        <v>Único</v>
      </c>
      <c r="P130" s="18" t="s">
        <v>454</v>
      </c>
      <c r="Q130" s="18" t="s">
        <v>695</v>
      </c>
      <c r="R130" s="17"/>
    </row>
    <row r="131" customFormat="false" ht="23.85" hidden="false" customHeight="false" outlineLevel="0" collapsed="false">
      <c r="A131" s="17" t="s">
        <v>434</v>
      </c>
      <c r="B131" s="17" t="s">
        <v>435</v>
      </c>
      <c r="C131" s="17" t="s">
        <v>696</v>
      </c>
      <c r="D131" s="18" t="s">
        <v>697</v>
      </c>
      <c r="E131" s="17"/>
      <c r="F131" s="19" t="n">
        <v>0</v>
      </c>
      <c r="G131" s="20" t="s">
        <v>434</v>
      </c>
      <c r="H131" s="20" t="s">
        <v>439</v>
      </c>
      <c r="I131" s="20" t="s">
        <v>698</v>
      </c>
      <c r="J131" s="20" t="s">
        <v>451</v>
      </c>
      <c r="K131" s="21" t="str">
        <f aca="false">IF(OR(G131="",H131="",I131=""),"",G131&amp;H131&amp;I131&amp;J131)</f>
        <v>MPAC421SC</v>
      </c>
      <c r="L131" s="18" t="s">
        <v>699</v>
      </c>
      <c r="M131" s="18" t="s">
        <v>700</v>
      </c>
      <c r="N131" s="22" t="s">
        <v>6</v>
      </c>
      <c r="O131" s="17" t="str">
        <f aca="false">IF(K131="","",IF(COUNTIF($K$5:$K$327,K131)&gt;1,"DUPLICADO","Único"))</f>
        <v>Único</v>
      </c>
      <c r="P131" s="18" t="s">
        <v>454</v>
      </c>
      <c r="Q131" s="18"/>
      <c r="R131" s="17"/>
    </row>
    <row r="132" customFormat="false" ht="23.85" hidden="false" customHeight="false" outlineLevel="0" collapsed="false">
      <c r="A132" s="17" t="s">
        <v>434</v>
      </c>
      <c r="B132" s="17" t="s">
        <v>435</v>
      </c>
      <c r="C132" s="17" t="s">
        <v>701</v>
      </c>
      <c r="D132" s="18" t="s">
        <v>702</v>
      </c>
      <c r="E132" s="17" t="s">
        <v>65</v>
      </c>
      <c r="F132" s="19" t="n">
        <v>100</v>
      </c>
      <c r="G132" s="20" t="s">
        <v>434</v>
      </c>
      <c r="H132" s="20" t="s">
        <v>450</v>
      </c>
      <c r="I132" s="20" t="s">
        <v>703</v>
      </c>
      <c r="J132" s="20" t="s">
        <v>451</v>
      </c>
      <c r="K132" s="21" t="str">
        <f aca="false">IF(OR(G132="",H132="",I132=""),"",G132&amp;H132&amp;I132&amp;J132)</f>
        <v>MPBA307SC</v>
      </c>
      <c r="L132" s="18" t="s">
        <v>704</v>
      </c>
      <c r="M132" s="18" t="s">
        <v>705</v>
      </c>
      <c r="N132" s="22" t="s">
        <v>6</v>
      </c>
      <c r="O132" s="17" t="str">
        <f aca="false">IF(K132="","",IF(COUNTIF($K$5:$K$327,K132)&gt;1,"DUPLICADO","Único"))</f>
        <v>Único</v>
      </c>
      <c r="P132" s="18" t="s">
        <v>454</v>
      </c>
      <c r="Q132" s="18"/>
      <c r="R132" s="17"/>
    </row>
    <row r="133" customFormat="false" ht="23.85" hidden="false" customHeight="false" outlineLevel="0" collapsed="false">
      <c r="A133" s="17" t="s">
        <v>434</v>
      </c>
      <c r="B133" s="17" t="s">
        <v>435</v>
      </c>
      <c r="C133" s="17" t="s">
        <v>706</v>
      </c>
      <c r="D133" s="18" t="s">
        <v>707</v>
      </c>
      <c r="E133" s="17" t="s">
        <v>65</v>
      </c>
      <c r="F133" s="19" t="n">
        <v>234</v>
      </c>
      <c r="G133" s="20" t="s">
        <v>434</v>
      </c>
      <c r="H133" s="20" t="s">
        <v>438</v>
      </c>
      <c r="I133" s="20" t="s">
        <v>708</v>
      </c>
      <c r="J133" s="20" t="s">
        <v>439</v>
      </c>
      <c r="K133" s="21" t="str">
        <f aca="false">IF(OR(G133="",H133="",I133=""),"",G133&amp;H133&amp;I133&amp;J133)</f>
        <v>MPFR243AC</v>
      </c>
      <c r="L133" s="18" t="s">
        <v>709</v>
      </c>
      <c r="M133" s="18" t="s">
        <v>710</v>
      </c>
      <c r="N133" s="24" t="s">
        <v>5</v>
      </c>
      <c r="O133" s="17" t="str">
        <f aca="false">IF(K133="","",IF(COUNTIF($K$5:$K$327,K133)&gt;1,"DUPLICADO","Único"))</f>
        <v>Único</v>
      </c>
      <c r="P133" s="18" t="s">
        <v>442</v>
      </c>
      <c r="Q133" s="18"/>
      <c r="R133" s="17"/>
    </row>
    <row r="134" customFormat="false" ht="23.85" hidden="false" customHeight="false" outlineLevel="0" collapsed="false">
      <c r="A134" s="17" t="s">
        <v>434</v>
      </c>
      <c r="B134" s="17" t="s">
        <v>435</v>
      </c>
      <c r="C134" s="17" t="s">
        <v>711</v>
      </c>
      <c r="D134" s="18" t="s">
        <v>712</v>
      </c>
      <c r="E134" s="17" t="s">
        <v>65</v>
      </c>
      <c r="F134" s="19" t="n">
        <v>5</v>
      </c>
      <c r="G134" s="20" t="s">
        <v>434</v>
      </c>
      <c r="H134" s="20" t="s">
        <v>563</v>
      </c>
      <c r="I134" s="20" t="s">
        <v>356</v>
      </c>
      <c r="J134" s="20" t="s">
        <v>531</v>
      </c>
      <c r="K134" s="21" t="str">
        <f aca="false">IF(OR(G134="",H134="",I134=""),"",G134&amp;H134&amp;I134&amp;J134)</f>
        <v>MPLT108RF</v>
      </c>
      <c r="L134" s="18" t="s">
        <v>713</v>
      </c>
      <c r="M134" s="18" t="s">
        <v>714</v>
      </c>
      <c r="N134" s="22" t="s">
        <v>6</v>
      </c>
      <c r="O134" s="17" t="str">
        <f aca="false">IF(K134="","",IF(COUNTIF($K$5:$K$327,K134)&gt;1,"DUPLICADO","Único"))</f>
        <v>Único</v>
      </c>
      <c r="P134" s="18" t="s">
        <v>454</v>
      </c>
      <c r="Q134" s="18"/>
      <c r="R134" s="17"/>
    </row>
    <row r="135" customFormat="false" ht="23.85" hidden="false" customHeight="false" outlineLevel="0" collapsed="false">
      <c r="A135" s="17" t="s">
        <v>434</v>
      </c>
      <c r="B135" s="17" t="s">
        <v>435</v>
      </c>
      <c r="C135" s="17" t="s">
        <v>715</v>
      </c>
      <c r="D135" s="18" t="s">
        <v>716</v>
      </c>
      <c r="E135" s="17" t="s">
        <v>65</v>
      </c>
      <c r="F135" s="19" t="n">
        <v>46</v>
      </c>
      <c r="G135" s="20" t="s">
        <v>434</v>
      </c>
      <c r="H135" s="20" t="s">
        <v>438</v>
      </c>
      <c r="I135" s="20" t="s">
        <v>717</v>
      </c>
      <c r="J135" s="20" t="s">
        <v>445</v>
      </c>
      <c r="K135" s="21" t="str">
        <f aca="false">IF(OR(G135="",H135="",I135=""),"",G135&amp;H135&amp;I135&amp;J135)</f>
        <v>MPFR244CG</v>
      </c>
      <c r="L135" s="18" t="s">
        <v>718</v>
      </c>
      <c r="M135" s="18" t="s">
        <v>719</v>
      </c>
      <c r="N135" s="24" t="s">
        <v>5</v>
      </c>
      <c r="O135" s="17" t="str">
        <f aca="false">IF(K135="","",IF(COUNTIF($K$5:$K$327,K135)&gt;1,"DUPLICADO","Único"))</f>
        <v>Único</v>
      </c>
      <c r="P135" s="18" t="s">
        <v>442</v>
      </c>
      <c r="Q135" s="18"/>
      <c r="R135" s="17"/>
    </row>
    <row r="136" customFormat="false" ht="23.85" hidden="false" customHeight="false" outlineLevel="0" collapsed="false">
      <c r="A136" s="17" t="s">
        <v>434</v>
      </c>
      <c r="B136" s="17" t="s">
        <v>435</v>
      </c>
      <c r="C136" s="17" t="s">
        <v>720</v>
      </c>
      <c r="D136" s="18" t="s">
        <v>721</v>
      </c>
      <c r="E136" s="17" t="s">
        <v>65</v>
      </c>
      <c r="F136" s="19" t="n">
        <v>23</v>
      </c>
      <c r="G136" s="20" t="s">
        <v>434</v>
      </c>
      <c r="H136" s="20" t="s">
        <v>438</v>
      </c>
      <c r="I136" s="20" t="s">
        <v>722</v>
      </c>
      <c r="J136" s="20" t="s">
        <v>445</v>
      </c>
      <c r="K136" s="21" t="str">
        <f aca="false">IF(OR(G136="",H136="",I136=""),"",G136&amp;H136&amp;I136&amp;J136)</f>
        <v>MPFR281CG</v>
      </c>
      <c r="L136" s="18" t="s">
        <v>723</v>
      </c>
      <c r="M136" s="18" t="s">
        <v>724</v>
      </c>
      <c r="N136" s="22" t="s">
        <v>6</v>
      </c>
      <c r="O136" s="17" t="str">
        <f aca="false">IF(K136="","",IF(COUNTIF($K$5:$K$327,K136)&gt;1,"DUPLICADO","Único"))</f>
        <v>Único</v>
      </c>
      <c r="P136" s="18" t="s">
        <v>454</v>
      </c>
      <c r="Q136" s="18" t="s">
        <v>725</v>
      </c>
      <c r="R136" s="17"/>
    </row>
    <row r="137" customFormat="false" ht="23.85" hidden="false" customHeight="false" outlineLevel="0" collapsed="false">
      <c r="A137" s="17" t="s">
        <v>434</v>
      </c>
      <c r="B137" s="17" t="s">
        <v>435</v>
      </c>
      <c r="C137" s="17" t="s">
        <v>726</v>
      </c>
      <c r="D137" s="18" t="s">
        <v>727</v>
      </c>
      <c r="E137" s="17" t="s">
        <v>65</v>
      </c>
      <c r="F137" s="19" t="n">
        <v>62.5</v>
      </c>
      <c r="G137" s="20" t="s">
        <v>434</v>
      </c>
      <c r="H137" s="20" t="s">
        <v>728</v>
      </c>
      <c r="I137" s="20" t="s">
        <v>729</v>
      </c>
      <c r="J137" s="20" t="s">
        <v>531</v>
      </c>
      <c r="K137" s="21" t="str">
        <f aca="false">IF(OR(G137="",H137="",I137=""),"",G137&amp;H137&amp;I137&amp;J137)</f>
        <v>MPGO600RF</v>
      </c>
      <c r="L137" s="18" t="s">
        <v>730</v>
      </c>
      <c r="M137" s="18" t="s">
        <v>731</v>
      </c>
      <c r="N137" s="22" t="s">
        <v>6</v>
      </c>
      <c r="O137" s="17" t="str">
        <f aca="false">IF(K137="","",IF(COUNTIF($K$5:$K$327,K137)&gt;1,"DUPLICADO","Único"))</f>
        <v>Único</v>
      </c>
      <c r="P137" s="18" t="s">
        <v>471</v>
      </c>
      <c r="Q137" s="18"/>
      <c r="R137" s="17"/>
    </row>
    <row r="138" customFormat="false" ht="23.85" hidden="false" customHeight="false" outlineLevel="0" collapsed="false">
      <c r="A138" s="17" t="s">
        <v>434</v>
      </c>
      <c r="B138" s="17" t="s">
        <v>435</v>
      </c>
      <c r="C138" s="17" t="s">
        <v>732</v>
      </c>
      <c r="D138" s="18" t="s">
        <v>733</v>
      </c>
      <c r="E138" s="17" t="s">
        <v>65</v>
      </c>
      <c r="F138" s="19" t="n">
        <v>1.75</v>
      </c>
      <c r="G138" s="20" t="s">
        <v>434</v>
      </c>
      <c r="H138" s="20" t="s">
        <v>563</v>
      </c>
      <c r="I138" s="20" t="s">
        <v>336</v>
      </c>
      <c r="J138" s="20" t="s">
        <v>531</v>
      </c>
      <c r="K138" s="21" t="str">
        <f aca="false">IF(OR(G138="",H138="",I138=""),"",G138&amp;H138&amp;I138&amp;J138)</f>
        <v>MPLT109RF</v>
      </c>
      <c r="L138" s="18" t="s">
        <v>734</v>
      </c>
      <c r="M138" s="18" t="s">
        <v>735</v>
      </c>
      <c r="N138" s="22" t="s">
        <v>6</v>
      </c>
      <c r="O138" s="17" t="str">
        <f aca="false">IF(K138="","",IF(COUNTIF($K$5:$K$327,K138)&gt;1,"DUPLICADO","Único"))</f>
        <v>Único</v>
      </c>
      <c r="P138" s="18" t="s">
        <v>454</v>
      </c>
      <c r="Q138" s="18"/>
      <c r="R138" s="17"/>
    </row>
    <row r="139" customFormat="false" ht="23.85" hidden="false" customHeight="false" outlineLevel="0" collapsed="false">
      <c r="A139" s="17" t="s">
        <v>434</v>
      </c>
      <c r="B139" s="17" t="s">
        <v>435</v>
      </c>
      <c r="C139" s="17" t="s">
        <v>736</v>
      </c>
      <c r="D139" s="18" t="s">
        <v>737</v>
      </c>
      <c r="E139" s="17" t="s">
        <v>65</v>
      </c>
      <c r="F139" s="19" t="n">
        <v>0</v>
      </c>
      <c r="G139" s="20" t="s">
        <v>434</v>
      </c>
      <c r="H139" s="20" t="s">
        <v>438</v>
      </c>
      <c r="I139" s="20" t="s">
        <v>738</v>
      </c>
      <c r="J139" s="20" t="s">
        <v>439</v>
      </c>
      <c r="K139" s="21" t="str">
        <f aca="false">IF(OR(G139="",H139="",I139=""),"",G139&amp;H139&amp;I139&amp;J139)</f>
        <v>MPFR245AC</v>
      </c>
      <c r="L139" s="18" t="s">
        <v>739</v>
      </c>
      <c r="M139" s="18" t="s">
        <v>740</v>
      </c>
      <c r="N139" s="24" t="s">
        <v>5</v>
      </c>
      <c r="O139" s="17" t="str">
        <f aca="false">IF(K139="","",IF(COUNTIF($K$5:$K$327,K139)&gt;1,"DUPLICADO","Único"))</f>
        <v>Único</v>
      </c>
      <c r="P139" s="18" t="s">
        <v>442</v>
      </c>
      <c r="Q139" s="18"/>
      <c r="R139" s="17"/>
    </row>
    <row r="140" customFormat="false" ht="23.85" hidden="false" customHeight="false" outlineLevel="0" collapsed="false">
      <c r="A140" s="17" t="s">
        <v>434</v>
      </c>
      <c r="B140" s="17" t="s">
        <v>435</v>
      </c>
      <c r="C140" s="17" t="s">
        <v>741</v>
      </c>
      <c r="D140" s="18" t="s">
        <v>742</v>
      </c>
      <c r="E140" s="17" t="s">
        <v>65</v>
      </c>
      <c r="F140" s="19" t="n">
        <v>50</v>
      </c>
      <c r="G140" s="20" t="s">
        <v>434</v>
      </c>
      <c r="H140" s="20" t="s">
        <v>438</v>
      </c>
      <c r="I140" s="20" t="s">
        <v>743</v>
      </c>
      <c r="J140" s="20" t="s">
        <v>445</v>
      </c>
      <c r="K140" s="21" t="str">
        <f aca="false">IF(OR(G140="",H140="",I140=""),"",G140&amp;H140&amp;I140&amp;J140)</f>
        <v>MPFR248CG</v>
      </c>
      <c r="L140" s="18" t="s">
        <v>744</v>
      </c>
      <c r="M140" s="18" t="s">
        <v>745</v>
      </c>
      <c r="N140" s="24" t="s">
        <v>5</v>
      </c>
      <c r="O140" s="17" t="str">
        <f aca="false">IF(K140="","",IF(COUNTIF($K$5:$K$327,K140)&gt;1,"DUPLICADO","Único"))</f>
        <v>Único</v>
      </c>
      <c r="P140" s="18" t="s">
        <v>442</v>
      </c>
      <c r="Q140" s="18"/>
      <c r="R140" s="17"/>
    </row>
    <row r="141" customFormat="false" ht="23.85" hidden="false" customHeight="false" outlineLevel="0" collapsed="false">
      <c r="A141" s="17" t="s">
        <v>434</v>
      </c>
      <c r="B141" s="17" t="s">
        <v>435</v>
      </c>
      <c r="C141" s="17" t="s">
        <v>746</v>
      </c>
      <c r="D141" s="18" t="s">
        <v>747</v>
      </c>
      <c r="E141" s="17" t="s">
        <v>65</v>
      </c>
      <c r="F141" s="19" t="n">
        <v>0</v>
      </c>
      <c r="G141" s="20" t="s">
        <v>434</v>
      </c>
      <c r="H141" s="20" t="s">
        <v>438</v>
      </c>
      <c r="I141" s="20" t="s">
        <v>748</v>
      </c>
      <c r="J141" s="20" t="s">
        <v>531</v>
      </c>
      <c r="K141" s="21" t="str">
        <f aca="false">IF(OR(G141="",H141="",I141=""),"",G141&amp;H141&amp;I141&amp;J141)</f>
        <v>MPFR247RF</v>
      </c>
      <c r="L141" s="18" t="s">
        <v>749</v>
      </c>
      <c r="M141" s="18" t="s">
        <v>750</v>
      </c>
      <c r="N141" s="24" t="s">
        <v>5</v>
      </c>
      <c r="O141" s="17" t="str">
        <f aca="false">IF(K141="","",IF(COUNTIF($K$5:$K$327,K141)&gt;1,"DUPLICADO","Único"))</f>
        <v>Único</v>
      </c>
      <c r="P141" s="18" t="s">
        <v>442</v>
      </c>
      <c r="Q141" s="18"/>
      <c r="R141" s="17"/>
    </row>
    <row r="142" customFormat="false" ht="23.85" hidden="false" customHeight="false" outlineLevel="0" collapsed="false">
      <c r="A142" s="17" t="s">
        <v>434</v>
      </c>
      <c r="B142" s="17" t="s">
        <v>435</v>
      </c>
      <c r="C142" s="17" t="s">
        <v>751</v>
      </c>
      <c r="D142" s="18" t="s">
        <v>752</v>
      </c>
      <c r="E142" s="17" t="s">
        <v>65</v>
      </c>
      <c r="F142" s="19" t="n">
        <v>120</v>
      </c>
      <c r="G142" s="20" t="s">
        <v>434</v>
      </c>
      <c r="H142" s="20" t="s">
        <v>438</v>
      </c>
      <c r="I142" s="20" t="s">
        <v>748</v>
      </c>
      <c r="J142" s="20" t="s">
        <v>445</v>
      </c>
      <c r="K142" s="21" t="str">
        <f aca="false">IF(OR(G142="",H142="",I142=""),"",G142&amp;H142&amp;I142&amp;J142)</f>
        <v>MPFR247CG</v>
      </c>
      <c r="L142" s="18" t="s">
        <v>753</v>
      </c>
      <c r="M142" s="18" t="s">
        <v>754</v>
      </c>
      <c r="N142" s="24" t="s">
        <v>5</v>
      </c>
      <c r="O142" s="17" t="str">
        <f aca="false">IF(K142="","",IF(COUNTIF($K$5:$K$327,K142)&gt;1,"DUPLICADO","Único"))</f>
        <v>Único</v>
      </c>
      <c r="P142" s="18" t="s">
        <v>442</v>
      </c>
      <c r="Q142" s="18"/>
      <c r="R142" s="17"/>
    </row>
    <row r="143" customFormat="false" ht="15" hidden="false" customHeight="false" outlineLevel="0" collapsed="false">
      <c r="A143" s="17" t="s">
        <v>434</v>
      </c>
      <c r="B143" s="17" t="s">
        <v>435</v>
      </c>
      <c r="C143" s="17" t="s">
        <v>755</v>
      </c>
      <c r="D143" s="18" t="s">
        <v>756</v>
      </c>
      <c r="E143" s="17" t="s">
        <v>65</v>
      </c>
      <c r="F143" s="19" t="n">
        <v>20.08</v>
      </c>
      <c r="G143" s="20" t="s">
        <v>434</v>
      </c>
      <c r="H143" s="20" t="s">
        <v>439</v>
      </c>
      <c r="I143" s="20" t="s">
        <v>757</v>
      </c>
      <c r="J143" s="20" t="s">
        <v>451</v>
      </c>
      <c r="K143" s="21" t="str">
        <f aca="false">IF(OR(G143="",H143="",I143=""),"",G143&amp;H143&amp;I143&amp;J143)</f>
        <v>MPAC422SC</v>
      </c>
      <c r="L143" s="18" t="s">
        <v>758</v>
      </c>
      <c r="M143" s="18" t="s">
        <v>759</v>
      </c>
      <c r="N143" s="22" t="s">
        <v>6</v>
      </c>
      <c r="O143" s="17" t="str">
        <f aca="false">IF(K143="","",IF(COUNTIF($K$5:$K$327,K143)&gt;1,"DUPLICADO","Único"))</f>
        <v>Único</v>
      </c>
      <c r="P143" s="18" t="s">
        <v>454</v>
      </c>
      <c r="Q143" s="18"/>
      <c r="R143" s="17"/>
    </row>
    <row r="144" customFormat="false" ht="15" hidden="false" customHeight="false" outlineLevel="0" collapsed="false">
      <c r="A144" s="17" t="s">
        <v>434</v>
      </c>
      <c r="B144" s="17" t="s">
        <v>435</v>
      </c>
      <c r="C144" s="17" t="s">
        <v>760</v>
      </c>
      <c r="D144" s="18" t="s">
        <v>761</v>
      </c>
      <c r="E144" s="17" t="s">
        <v>65</v>
      </c>
      <c r="F144" s="19" t="n">
        <v>92.5</v>
      </c>
      <c r="G144" s="20" t="s">
        <v>434</v>
      </c>
      <c r="H144" s="20" t="s">
        <v>450</v>
      </c>
      <c r="I144" s="20" t="s">
        <v>762</v>
      </c>
      <c r="J144" s="20" t="s">
        <v>451</v>
      </c>
      <c r="K144" s="21" t="str">
        <f aca="false">IF(OR(G144="",H144="",I144=""),"",G144&amp;H144&amp;I144&amp;J144)</f>
        <v>MPBA308SC</v>
      </c>
      <c r="L144" s="18" t="s">
        <v>763</v>
      </c>
      <c r="M144" s="18" t="s">
        <v>764</v>
      </c>
      <c r="N144" s="22" t="s">
        <v>6</v>
      </c>
      <c r="O144" s="17" t="str">
        <f aca="false">IF(K144="","",IF(COUNTIF($K$5:$K$327,K144)&gt;1,"DUPLICADO","Único"))</f>
        <v>Único</v>
      </c>
      <c r="P144" s="18" t="s">
        <v>454</v>
      </c>
      <c r="Q144" s="18"/>
      <c r="R144" s="17"/>
    </row>
    <row r="145" customFormat="false" ht="15" hidden="false" customHeight="false" outlineLevel="0" collapsed="false">
      <c r="A145" s="17" t="s">
        <v>434</v>
      </c>
      <c r="B145" s="17" t="s">
        <v>435</v>
      </c>
      <c r="C145" s="17" t="s">
        <v>765</v>
      </c>
      <c r="D145" s="18" t="s">
        <v>766</v>
      </c>
      <c r="E145" s="17" t="s">
        <v>65</v>
      </c>
      <c r="F145" s="19" t="n">
        <v>25</v>
      </c>
      <c r="G145" s="20" t="s">
        <v>434</v>
      </c>
      <c r="H145" s="20" t="s">
        <v>450</v>
      </c>
      <c r="I145" s="20" t="s">
        <v>767</v>
      </c>
      <c r="J145" s="20" t="s">
        <v>451</v>
      </c>
      <c r="K145" s="21" t="str">
        <f aca="false">IF(OR(G145="",H145="",I145=""),"",G145&amp;H145&amp;I145&amp;J145)</f>
        <v>MPBA309SC</v>
      </c>
      <c r="L145" s="18" t="s">
        <v>768</v>
      </c>
      <c r="M145" s="18" t="s">
        <v>769</v>
      </c>
      <c r="N145" s="22" t="s">
        <v>6</v>
      </c>
      <c r="O145" s="17" t="str">
        <f aca="false">IF(K145="","",IF(COUNTIF($K$5:$K$327,K145)&gt;1,"DUPLICADO","Único"))</f>
        <v>Único</v>
      </c>
      <c r="P145" s="18" t="s">
        <v>454</v>
      </c>
      <c r="Q145" s="18"/>
      <c r="R145" s="17"/>
    </row>
    <row r="146" customFormat="false" ht="23.85" hidden="false" customHeight="false" outlineLevel="0" collapsed="false">
      <c r="A146" s="17" t="s">
        <v>434</v>
      </c>
      <c r="B146" s="17" t="s">
        <v>435</v>
      </c>
      <c r="C146" s="17" t="s">
        <v>770</v>
      </c>
      <c r="D146" s="18" t="s">
        <v>771</v>
      </c>
      <c r="E146" s="17" t="s">
        <v>65</v>
      </c>
      <c r="F146" s="19" t="n">
        <v>79.8</v>
      </c>
      <c r="G146" s="20" t="s">
        <v>434</v>
      </c>
      <c r="H146" s="20" t="s">
        <v>439</v>
      </c>
      <c r="I146" s="20" t="s">
        <v>772</v>
      </c>
      <c r="J146" s="20" t="s">
        <v>451</v>
      </c>
      <c r="K146" s="21" t="str">
        <f aca="false">IF(OR(G146="",H146="",I146=""),"",G146&amp;H146&amp;I146&amp;J146)</f>
        <v>MPAC423SC</v>
      </c>
      <c r="L146" s="18" t="s">
        <v>773</v>
      </c>
      <c r="M146" s="18" t="s">
        <v>774</v>
      </c>
      <c r="N146" s="22" t="s">
        <v>6</v>
      </c>
      <c r="O146" s="17" t="str">
        <f aca="false">IF(K146="","",IF(COUNTIF($K$5:$K$327,K146)&gt;1,"DUPLICADO","Único"))</f>
        <v>Único</v>
      </c>
      <c r="P146" s="18" t="s">
        <v>454</v>
      </c>
      <c r="Q146" s="18"/>
      <c r="R146" s="17"/>
    </row>
    <row r="147" customFormat="false" ht="23.85" hidden="false" customHeight="false" outlineLevel="0" collapsed="false">
      <c r="A147" s="17" t="s">
        <v>434</v>
      </c>
      <c r="B147" s="17" t="s">
        <v>435</v>
      </c>
      <c r="C147" s="17" t="s">
        <v>775</v>
      </c>
      <c r="D147" s="18" t="s">
        <v>776</v>
      </c>
      <c r="E147" s="17" t="s">
        <v>568</v>
      </c>
      <c r="F147" s="19" t="n">
        <v>1.8</v>
      </c>
      <c r="G147" s="20" t="s">
        <v>434</v>
      </c>
      <c r="H147" s="20" t="s">
        <v>728</v>
      </c>
      <c r="I147" s="20" t="s">
        <v>777</v>
      </c>
      <c r="J147" s="20" t="s">
        <v>451</v>
      </c>
      <c r="K147" s="21" t="str">
        <f aca="false">IF(OR(G147="",H147="",I147=""),"",G147&amp;H147&amp;I147&amp;J147)</f>
        <v>MPGO601SC</v>
      </c>
      <c r="L147" s="18" t="s">
        <v>778</v>
      </c>
      <c r="M147" s="18" t="s">
        <v>779</v>
      </c>
      <c r="N147" s="22" t="s">
        <v>6</v>
      </c>
      <c r="O147" s="17" t="str">
        <f aca="false">IF(K147="","",IF(COUNTIF($K$5:$K$327,K147)&gt;1,"DUPLICADO","Único"))</f>
        <v>Único</v>
      </c>
      <c r="P147" s="18" t="s">
        <v>471</v>
      </c>
      <c r="Q147" s="18"/>
      <c r="R147" s="17"/>
    </row>
    <row r="148" customFormat="false" ht="23.85" hidden="false" customHeight="false" outlineLevel="0" collapsed="false">
      <c r="A148" s="17" t="s">
        <v>434</v>
      </c>
      <c r="B148" s="17" t="s">
        <v>435</v>
      </c>
      <c r="C148" s="17" t="s">
        <v>780</v>
      </c>
      <c r="D148" s="18" t="s">
        <v>781</v>
      </c>
      <c r="E148" s="17" t="s">
        <v>65</v>
      </c>
      <c r="F148" s="19" t="n">
        <v>9</v>
      </c>
      <c r="G148" s="20" t="s">
        <v>434</v>
      </c>
      <c r="H148" s="20" t="s">
        <v>529</v>
      </c>
      <c r="I148" s="20" t="s">
        <v>782</v>
      </c>
      <c r="J148" s="20" t="s">
        <v>531</v>
      </c>
      <c r="K148" s="21" t="str">
        <f aca="false">IF(OR(G148="",H148="",I148=""),"",G148&amp;H148&amp;I148&amp;J148)</f>
        <v>MPOV501RF</v>
      </c>
      <c r="L148" s="18" t="s">
        <v>783</v>
      </c>
      <c r="M148" s="18" t="s">
        <v>784</v>
      </c>
      <c r="N148" s="22" t="s">
        <v>6</v>
      </c>
      <c r="O148" s="17" t="str">
        <f aca="false">IF(K148="","",IF(COUNTIF($K$5:$K$327,K148)&gt;1,"DUPLICADO","Único"))</f>
        <v>Único</v>
      </c>
      <c r="P148" s="18" t="s">
        <v>471</v>
      </c>
      <c r="Q148" s="18"/>
      <c r="R148" s="17"/>
    </row>
    <row r="149" customFormat="false" ht="23.85" hidden="false" customHeight="false" outlineLevel="0" collapsed="false">
      <c r="A149" s="17" t="s">
        <v>434</v>
      </c>
      <c r="B149" s="17" t="s">
        <v>435</v>
      </c>
      <c r="C149" s="17" t="s">
        <v>785</v>
      </c>
      <c r="D149" s="18" t="s">
        <v>786</v>
      </c>
      <c r="E149" s="17" t="s">
        <v>65</v>
      </c>
      <c r="F149" s="19" t="n">
        <v>50</v>
      </c>
      <c r="G149" s="20" t="s">
        <v>434</v>
      </c>
      <c r="H149" s="20" t="s">
        <v>439</v>
      </c>
      <c r="I149" s="20" t="s">
        <v>787</v>
      </c>
      <c r="J149" s="20" t="s">
        <v>451</v>
      </c>
      <c r="K149" s="21" t="str">
        <f aca="false">IF(OR(G149="",H149="",I149=""),"",G149&amp;H149&amp;I149&amp;J149)</f>
        <v>MPAC424SC</v>
      </c>
      <c r="L149" s="18" t="s">
        <v>788</v>
      </c>
      <c r="M149" s="18" t="s">
        <v>789</v>
      </c>
      <c r="N149" s="22" t="s">
        <v>6</v>
      </c>
      <c r="O149" s="17" t="str">
        <f aca="false">IF(K149="","",IF(COUNTIF($K$5:$K$327,K149)&gt;1,"DUPLICADO","Único"))</f>
        <v>Único</v>
      </c>
      <c r="P149" s="18" t="s">
        <v>454</v>
      </c>
      <c r="Q149" s="18"/>
      <c r="R149" s="17"/>
    </row>
    <row r="150" customFormat="false" ht="23.85" hidden="false" customHeight="false" outlineLevel="0" collapsed="false">
      <c r="A150" s="17" t="s">
        <v>434</v>
      </c>
      <c r="B150" s="17" t="s">
        <v>435</v>
      </c>
      <c r="C150" s="17" t="s">
        <v>790</v>
      </c>
      <c r="D150" s="18" t="s">
        <v>791</v>
      </c>
      <c r="E150" s="17" t="s">
        <v>65</v>
      </c>
      <c r="F150" s="19" t="n">
        <v>25</v>
      </c>
      <c r="G150" s="20" t="s">
        <v>434</v>
      </c>
      <c r="H150" s="20" t="s">
        <v>450</v>
      </c>
      <c r="I150" s="20" t="s">
        <v>792</v>
      </c>
      <c r="J150" s="20" t="s">
        <v>451</v>
      </c>
      <c r="K150" s="21" t="str">
        <f aca="false">IF(OR(G150="",H150="",I150=""),"",G150&amp;H150&amp;I150&amp;J150)</f>
        <v>MPBA310SC</v>
      </c>
      <c r="L150" s="18" t="s">
        <v>793</v>
      </c>
      <c r="M150" s="18" t="s">
        <v>794</v>
      </c>
      <c r="N150" s="22" t="s">
        <v>6</v>
      </c>
      <c r="O150" s="17" t="str">
        <f aca="false">IF(K150="","",IF(COUNTIF($K$5:$K$327,K150)&gt;1,"DUPLICADO","Único"))</f>
        <v>Único</v>
      </c>
      <c r="P150" s="18" t="s">
        <v>454</v>
      </c>
      <c r="Q150" s="18"/>
      <c r="R150" s="17"/>
    </row>
    <row r="151" customFormat="false" ht="23.85" hidden="false" customHeight="false" outlineLevel="0" collapsed="false">
      <c r="A151" s="17" t="s">
        <v>434</v>
      </c>
      <c r="B151" s="17" t="s">
        <v>435</v>
      </c>
      <c r="C151" s="17" t="s">
        <v>795</v>
      </c>
      <c r="D151" s="18" t="s">
        <v>796</v>
      </c>
      <c r="E151" s="17"/>
      <c r="F151" s="19" t="n">
        <v>0</v>
      </c>
      <c r="G151" s="20" t="s">
        <v>434</v>
      </c>
      <c r="H151" s="20" t="s">
        <v>439</v>
      </c>
      <c r="I151" s="20" t="s">
        <v>797</v>
      </c>
      <c r="J151" s="20" t="s">
        <v>451</v>
      </c>
      <c r="K151" s="21" t="str">
        <f aca="false">IF(OR(G151="",H151="",I151=""),"",G151&amp;H151&amp;I151&amp;J151)</f>
        <v>MPAC425SC</v>
      </c>
      <c r="L151" s="18" t="s">
        <v>798</v>
      </c>
      <c r="M151" s="18" t="s">
        <v>799</v>
      </c>
      <c r="N151" s="22" t="s">
        <v>6</v>
      </c>
      <c r="O151" s="17" t="str">
        <f aca="false">IF(K151="","",IF(COUNTIF($K$5:$K$327,K151)&gt;1,"DUPLICADO","Único"))</f>
        <v>Único</v>
      </c>
      <c r="P151" s="18" t="s">
        <v>454</v>
      </c>
      <c r="Q151" s="18"/>
      <c r="R151" s="17"/>
    </row>
    <row r="152" customFormat="false" ht="15" hidden="false" customHeight="false" outlineLevel="0" collapsed="false">
      <c r="A152" s="17" t="s">
        <v>434</v>
      </c>
      <c r="B152" s="17" t="s">
        <v>435</v>
      </c>
      <c r="C152" s="17" t="s">
        <v>800</v>
      </c>
      <c r="D152" s="18" t="s">
        <v>801</v>
      </c>
      <c r="E152" s="17" t="s">
        <v>65</v>
      </c>
      <c r="F152" s="19" t="n">
        <v>350</v>
      </c>
      <c r="G152" s="20" t="s">
        <v>434</v>
      </c>
      <c r="H152" s="20" t="s">
        <v>450</v>
      </c>
      <c r="I152" s="20" t="s">
        <v>802</v>
      </c>
      <c r="J152" s="20" t="s">
        <v>451</v>
      </c>
      <c r="K152" s="21" t="str">
        <f aca="false">IF(OR(G152="",H152="",I152=""),"",G152&amp;H152&amp;I152&amp;J152)</f>
        <v>MPBA311SC</v>
      </c>
      <c r="L152" s="18" t="s">
        <v>803</v>
      </c>
      <c r="M152" s="18" t="s">
        <v>804</v>
      </c>
      <c r="N152" s="22" t="s">
        <v>6</v>
      </c>
      <c r="O152" s="17" t="str">
        <f aca="false">IF(K152="","",IF(COUNTIF($K$5:$K$327,K152)&gt;1,"DUPLICADO","Único"))</f>
        <v>Único</v>
      </c>
      <c r="P152" s="18" t="s">
        <v>454</v>
      </c>
      <c r="Q152" s="18"/>
      <c r="R152" s="17"/>
    </row>
    <row r="153" customFormat="false" ht="23.85" hidden="false" customHeight="false" outlineLevel="0" collapsed="false">
      <c r="A153" s="17" t="s">
        <v>434</v>
      </c>
      <c r="B153" s="17" t="s">
        <v>435</v>
      </c>
      <c r="C153" s="17" t="s">
        <v>805</v>
      </c>
      <c r="D153" s="18" t="s">
        <v>806</v>
      </c>
      <c r="E153" s="17" t="s">
        <v>355</v>
      </c>
      <c r="F153" s="19" t="n">
        <v>0</v>
      </c>
      <c r="G153" s="20" t="s">
        <v>434</v>
      </c>
      <c r="H153" s="20" t="s">
        <v>467</v>
      </c>
      <c r="I153" s="20" t="s">
        <v>807</v>
      </c>
      <c r="J153" s="20" t="s">
        <v>451</v>
      </c>
      <c r="K153" s="21" t="str">
        <f aca="false">IF(OR(G153="",H153="",I153=""),"",G153&amp;H153&amp;I153&amp;J153)</f>
        <v>MPAD704SC</v>
      </c>
      <c r="L153" s="18" t="s">
        <v>808</v>
      </c>
      <c r="M153" s="18" t="s">
        <v>809</v>
      </c>
      <c r="N153" s="22" t="s">
        <v>6</v>
      </c>
      <c r="O153" s="17" t="str">
        <f aca="false">IF(K153="","",IF(COUNTIF($K$5:$K$327,K153)&gt;1,"DUPLICADO","Único"))</f>
        <v>Único</v>
      </c>
      <c r="P153" s="18" t="s">
        <v>471</v>
      </c>
      <c r="Q153" s="18"/>
      <c r="R153" s="17"/>
    </row>
    <row r="154" customFormat="false" ht="23.85" hidden="false" customHeight="false" outlineLevel="0" collapsed="false">
      <c r="A154" s="17" t="s">
        <v>434</v>
      </c>
      <c r="B154" s="17" t="s">
        <v>435</v>
      </c>
      <c r="C154" s="17" t="s">
        <v>810</v>
      </c>
      <c r="D154" s="18" t="s">
        <v>811</v>
      </c>
      <c r="E154" s="17" t="s">
        <v>568</v>
      </c>
      <c r="F154" s="19" t="n">
        <v>130.5</v>
      </c>
      <c r="G154" s="20" t="s">
        <v>434</v>
      </c>
      <c r="H154" s="20" t="s">
        <v>438</v>
      </c>
      <c r="I154" s="20" t="s">
        <v>812</v>
      </c>
      <c r="J154" s="20" t="s">
        <v>451</v>
      </c>
      <c r="K154" s="21" t="str">
        <f aca="false">IF(OR(G154="",H154="",I154=""),"",G154&amp;H154&amp;I154&amp;J154)</f>
        <v>MPFR268SC</v>
      </c>
      <c r="L154" s="18" t="s">
        <v>813</v>
      </c>
      <c r="M154" s="18" t="s">
        <v>814</v>
      </c>
      <c r="N154" s="24" t="s">
        <v>5</v>
      </c>
      <c r="O154" s="17" t="str">
        <f aca="false">IF(K154="","",IF(COUNTIF($K$5:$K$327,K154)&gt;1,"DUPLICADO","Único"))</f>
        <v>Único</v>
      </c>
      <c r="P154" s="18" t="s">
        <v>442</v>
      </c>
      <c r="Q154" s="18"/>
      <c r="R154" s="17"/>
    </row>
    <row r="155" customFormat="false" ht="23.85" hidden="false" customHeight="false" outlineLevel="0" collapsed="false">
      <c r="A155" s="17" t="s">
        <v>434</v>
      </c>
      <c r="B155" s="17" t="s">
        <v>435</v>
      </c>
      <c r="C155" s="17" t="s">
        <v>815</v>
      </c>
      <c r="D155" s="18" t="s">
        <v>816</v>
      </c>
      <c r="E155" s="17" t="s">
        <v>65</v>
      </c>
      <c r="F155" s="19" t="n">
        <v>75</v>
      </c>
      <c r="G155" s="20" t="s">
        <v>434</v>
      </c>
      <c r="H155" s="20" t="s">
        <v>438</v>
      </c>
      <c r="I155" s="20" t="s">
        <v>812</v>
      </c>
      <c r="J155" s="20" t="s">
        <v>439</v>
      </c>
      <c r="K155" s="21" t="str">
        <f aca="false">IF(OR(G155="",H155="",I155=""),"",G155&amp;H155&amp;I155&amp;J155)</f>
        <v>MPFR268AC</v>
      </c>
      <c r="L155" s="18" t="s">
        <v>817</v>
      </c>
      <c r="M155" s="18" t="s">
        <v>818</v>
      </c>
      <c r="N155" s="24" t="s">
        <v>5</v>
      </c>
      <c r="O155" s="17" t="str">
        <f aca="false">IF(K155="","",IF(COUNTIF($K$5:$K$327,K155)&gt;1,"DUPLICADO","Único"))</f>
        <v>Único</v>
      </c>
      <c r="P155" s="18" t="s">
        <v>442</v>
      </c>
      <c r="Q155" s="18"/>
      <c r="R155" s="17"/>
    </row>
    <row r="156" customFormat="false" ht="23.85" hidden="false" customHeight="false" outlineLevel="0" collapsed="false">
      <c r="A156" s="17" t="s">
        <v>434</v>
      </c>
      <c r="B156" s="17" t="s">
        <v>435</v>
      </c>
      <c r="C156" s="17" t="s">
        <v>819</v>
      </c>
      <c r="D156" s="18" t="s">
        <v>820</v>
      </c>
      <c r="E156" s="17" t="s">
        <v>568</v>
      </c>
      <c r="F156" s="19" t="n">
        <v>750</v>
      </c>
      <c r="G156" s="20" t="s">
        <v>434</v>
      </c>
      <c r="H156" s="20" t="s">
        <v>467</v>
      </c>
      <c r="I156" s="20" t="s">
        <v>821</v>
      </c>
      <c r="J156" s="20" t="s">
        <v>451</v>
      </c>
      <c r="K156" s="21" t="str">
        <f aca="false">IF(OR(G156="",H156="",I156=""),"",G156&amp;H156&amp;I156&amp;J156)</f>
        <v>MPAD705SC</v>
      </c>
      <c r="L156" s="18" t="s">
        <v>822</v>
      </c>
      <c r="M156" s="18" t="s">
        <v>823</v>
      </c>
      <c r="N156" s="22" t="s">
        <v>6</v>
      </c>
      <c r="O156" s="17" t="str">
        <f aca="false">IF(K156="","",IF(COUNTIF($K$5:$K$327,K156)&gt;1,"DUPLICADO","Único"))</f>
        <v>Único</v>
      </c>
      <c r="P156" s="18" t="s">
        <v>471</v>
      </c>
      <c r="Q156" s="18"/>
      <c r="R156" s="17"/>
    </row>
    <row r="157" customFormat="false" ht="23.85" hidden="false" customHeight="false" outlineLevel="0" collapsed="false">
      <c r="A157" s="17" t="s">
        <v>434</v>
      </c>
      <c r="B157" s="17" t="s">
        <v>435</v>
      </c>
      <c r="C157" s="17" t="s">
        <v>824</v>
      </c>
      <c r="D157" s="18" t="s">
        <v>825</v>
      </c>
      <c r="E157" s="17" t="s">
        <v>355</v>
      </c>
      <c r="F157" s="19" t="n">
        <v>0</v>
      </c>
      <c r="G157" s="20" t="s">
        <v>434</v>
      </c>
      <c r="H157" s="20" t="s">
        <v>467</v>
      </c>
      <c r="I157" s="20" t="s">
        <v>826</v>
      </c>
      <c r="J157" s="20" t="s">
        <v>451</v>
      </c>
      <c r="K157" s="21" t="str">
        <f aca="false">IF(OR(G157="",H157="",I157=""),"",G157&amp;H157&amp;I157&amp;J157)</f>
        <v>MPAD706SC</v>
      </c>
      <c r="L157" s="18" t="s">
        <v>827</v>
      </c>
      <c r="M157" s="18" t="s">
        <v>828</v>
      </c>
      <c r="N157" s="22" t="s">
        <v>6</v>
      </c>
      <c r="O157" s="17" t="str">
        <f aca="false">IF(K157="","",IF(COUNTIF($K$5:$K$327,K157)&gt;1,"DUPLICADO","Único"))</f>
        <v>Único</v>
      </c>
      <c r="P157" s="18" t="s">
        <v>471</v>
      </c>
      <c r="Q157" s="18"/>
      <c r="R157" s="17"/>
    </row>
    <row r="158" customFormat="false" ht="23.85" hidden="false" customHeight="false" outlineLevel="0" collapsed="false">
      <c r="A158" s="17" t="s">
        <v>434</v>
      </c>
      <c r="B158" s="17" t="s">
        <v>435</v>
      </c>
      <c r="C158" s="17" t="s">
        <v>829</v>
      </c>
      <c r="D158" s="18" t="s">
        <v>830</v>
      </c>
      <c r="E158" s="17" t="s">
        <v>65</v>
      </c>
      <c r="F158" s="19" t="n">
        <v>17.5</v>
      </c>
      <c r="G158" s="20" t="s">
        <v>434</v>
      </c>
      <c r="H158" s="20" t="s">
        <v>439</v>
      </c>
      <c r="I158" s="20" t="s">
        <v>831</v>
      </c>
      <c r="J158" s="20" t="s">
        <v>451</v>
      </c>
      <c r="K158" s="21" t="str">
        <f aca="false">IF(OR(G158="",H158="",I158=""),"",G158&amp;H158&amp;I158&amp;J158)</f>
        <v>MPAC426SC</v>
      </c>
      <c r="L158" s="18" t="s">
        <v>832</v>
      </c>
      <c r="M158" s="18" t="s">
        <v>833</v>
      </c>
      <c r="N158" s="22" t="s">
        <v>6</v>
      </c>
      <c r="O158" s="17" t="str">
        <f aca="false">IF(K158="","",IF(COUNTIF($K$5:$K$327,K158)&gt;1,"DUPLICADO","Único"))</f>
        <v>Único</v>
      </c>
      <c r="P158" s="18" t="s">
        <v>454</v>
      </c>
      <c r="Q158" s="18"/>
      <c r="R158" s="17"/>
    </row>
    <row r="159" customFormat="false" ht="23.85" hidden="false" customHeight="false" outlineLevel="0" collapsed="false">
      <c r="A159" s="17" t="s">
        <v>434</v>
      </c>
      <c r="B159" s="17" t="s">
        <v>435</v>
      </c>
      <c r="C159" s="17" t="s">
        <v>834</v>
      </c>
      <c r="D159" s="18" t="s">
        <v>835</v>
      </c>
      <c r="E159" s="17" t="s">
        <v>568</v>
      </c>
      <c r="F159" s="19" t="n">
        <v>9</v>
      </c>
      <c r="G159" s="20" t="s">
        <v>434</v>
      </c>
      <c r="H159" s="20" t="s">
        <v>438</v>
      </c>
      <c r="I159" s="20" t="s">
        <v>717</v>
      </c>
      <c r="J159" s="20" t="s">
        <v>531</v>
      </c>
      <c r="K159" s="21" t="str">
        <f aca="false">IF(OR(G159="",H159="",I159=""),"",G159&amp;H159&amp;I159&amp;J159)</f>
        <v>MPFR244RF</v>
      </c>
      <c r="L159" s="18" t="s">
        <v>836</v>
      </c>
      <c r="M159" s="18" t="s">
        <v>837</v>
      </c>
      <c r="N159" s="24" t="s">
        <v>5</v>
      </c>
      <c r="O159" s="17" t="str">
        <f aca="false">IF(K159="","",IF(COUNTIF($K$5:$K$327,K159)&gt;1,"DUPLICADO","Único"))</f>
        <v>Único</v>
      </c>
      <c r="P159" s="18" t="s">
        <v>442</v>
      </c>
      <c r="Q159" s="18"/>
      <c r="R159" s="17"/>
    </row>
    <row r="160" customFormat="false" ht="23.85" hidden="false" customHeight="false" outlineLevel="0" collapsed="false">
      <c r="A160" s="17" t="s">
        <v>434</v>
      </c>
      <c r="B160" s="17" t="s">
        <v>435</v>
      </c>
      <c r="C160" s="17" t="s">
        <v>838</v>
      </c>
      <c r="D160" s="18" t="s">
        <v>839</v>
      </c>
      <c r="E160" s="17" t="s">
        <v>65</v>
      </c>
      <c r="F160" s="19" t="n">
        <v>8.2</v>
      </c>
      <c r="G160" s="20" t="s">
        <v>434</v>
      </c>
      <c r="H160" s="20" t="s">
        <v>439</v>
      </c>
      <c r="I160" s="20" t="s">
        <v>840</v>
      </c>
      <c r="J160" s="20" t="s">
        <v>451</v>
      </c>
      <c r="K160" s="21" t="str">
        <f aca="false">IF(OR(G160="",H160="",I160=""),"",G160&amp;H160&amp;I160&amp;J160)</f>
        <v>MPAC427SC</v>
      </c>
      <c r="L160" s="18" t="s">
        <v>841</v>
      </c>
      <c r="M160" s="18" t="s">
        <v>842</v>
      </c>
      <c r="N160" s="22" t="s">
        <v>6</v>
      </c>
      <c r="O160" s="17" t="str">
        <f aca="false">IF(K160="","",IF(COUNTIF($K$5:$K$327,K160)&gt;1,"DUPLICADO","Único"))</f>
        <v>Único</v>
      </c>
      <c r="P160" s="18" t="s">
        <v>454</v>
      </c>
      <c r="Q160" s="18"/>
      <c r="R160" s="17"/>
    </row>
    <row r="161" customFormat="false" ht="23.85" hidden="false" customHeight="false" outlineLevel="0" collapsed="false">
      <c r="A161" s="17" t="s">
        <v>434</v>
      </c>
      <c r="B161" s="17" t="s">
        <v>435</v>
      </c>
      <c r="C161" s="17" t="s">
        <v>843</v>
      </c>
      <c r="D161" s="18" t="s">
        <v>844</v>
      </c>
      <c r="E161" s="17" t="s">
        <v>65</v>
      </c>
      <c r="F161" s="19" t="n">
        <v>16</v>
      </c>
      <c r="G161" s="20" t="s">
        <v>434</v>
      </c>
      <c r="H161" s="20" t="s">
        <v>439</v>
      </c>
      <c r="I161" s="20" t="s">
        <v>845</v>
      </c>
      <c r="J161" s="20" t="s">
        <v>451</v>
      </c>
      <c r="K161" s="21" t="str">
        <f aca="false">IF(OR(G161="",H161="",I161=""),"",G161&amp;H161&amp;I161&amp;J161)</f>
        <v>MPAC428SC</v>
      </c>
      <c r="L161" s="18" t="s">
        <v>846</v>
      </c>
      <c r="M161" s="18" t="s">
        <v>847</v>
      </c>
      <c r="N161" s="22" t="s">
        <v>6</v>
      </c>
      <c r="O161" s="17" t="str">
        <f aca="false">IF(K161="","",IF(COUNTIF($K$5:$K$327,K161)&gt;1,"DUPLICADO","Único"))</f>
        <v>Único</v>
      </c>
      <c r="P161" s="18" t="s">
        <v>454</v>
      </c>
      <c r="Q161" s="18"/>
      <c r="R161" s="17"/>
    </row>
    <row r="162" customFormat="false" ht="23.85" hidden="false" customHeight="false" outlineLevel="0" collapsed="false">
      <c r="A162" s="17" t="s">
        <v>434</v>
      </c>
      <c r="B162" s="17" t="s">
        <v>435</v>
      </c>
      <c r="C162" s="17" t="s">
        <v>848</v>
      </c>
      <c r="D162" s="18" t="s">
        <v>849</v>
      </c>
      <c r="E162" s="17" t="s">
        <v>65</v>
      </c>
      <c r="F162" s="19" t="n">
        <v>115.5</v>
      </c>
      <c r="G162" s="20" t="s">
        <v>434</v>
      </c>
      <c r="H162" s="20" t="s">
        <v>439</v>
      </c>
      <c r="I162" s="20" t="s">
        <v>850</v>
      </c>
      <c r="J162" s="20" t="s">
        <v>451</v>
      </c>
      <c r="K162" s="21" t="str">
        <f aca="false">IF(OR(G162="",H162="",I162=""),"",G162&amp;H162&amp;I162&amp;J162)</f>
        <v>MPAC429SC</v>
      </c>
      <c r="L162" s="18" t="s">
        <v>851</v>
      </c>
      <c r="M162" s="18" t="s">
        <v>852</v>
      </c>
      <c r="N162" s="22" t="s">
        <v>6</v>
      </c>
      <c r="O162" s="17" t="str">
        <f aca="false">IF(K162="","",IF(COUNTIF($K$5:$K$327,K162)&gt;1,"DUPLICADO","Único"))</f>
        <v>Único</v>
      </c>
      <c r="P162" s="18" t="s">
        <v>454</v>
      </c>
      <c r="Q162" s="18"/>
      <c r="R162" s="17"/>
    </row>
    <row r="163" customFormat="false" ht="15" hidden="false" customHeight="false" outlineLevel="0" collapsed="false">
      <c r="A163" s="17" t="s">
        <v>434</v>
      </c>
      <c r="B163" s="17" t="s">
        <v>435</v>
      </c>
      <c r="C163" s="17" t="s">
        <v>853</v>
      </c>
      <c r="D163" s="18" t="s">
        <v>854</v>
      </c>
      <c r="E163" s="17" t="s">
        <v>65</v>
      </c>
      <c r="F163" s="19" t="n">
        <v>14</v>
      </c>
      <c r="G163" s="20" t="s">
        <v>434</v>
      </c>
      <c r="H163" s="20" t="s">
        <v>450</v>
      </c>
      <c r="I163" s="20" t="s">
        <v>855</v>
      </c>
      <c r="J163" s="20" t="s">
        <v>451</v>
      </c>
      <c r="K163" s="21" t="str">
        <f aca="false">IF(OR(G163="",H163="",I163=""),"",G163&amp;H163&amp;I163&amp;J163)</f>
        <v>MPBA312SC</v>
      </c>
      <c r="L163" s="18" t="s">
        <v>856</v>
      </c>
      <c r="M163" s="18" t="s">
        <v>857</v>
      </c>
      <c r="N163" s="22" t="s">
        <v>6</v>
      </c>
      <c r="O163" s="17" t="str">
        <f aca="false">IF(K163="","",IF(COUNTIF($K$5:$K$327,K163)&gt;1,"DUPLICADO","Único"))</f>
        <v>Único</v>
      </c>
      <c r="P163" s="18" t="s">
        <v>454</v>
      </c>
      <c r="Q163" s="18"/>
      <c r="R163" s="17"/>
    </row>
    <row r="164" customFormat="false" ht="15" hidden="false" customHeight="false" outlineLevel="0" collapsed="false">
      <c r="A164" s="17" t="s">
        <v>434</v>
      </c>
      <c r="B164" s="17" t="s">
        <v>435</v>
      </c>
      <c r="C164" s="17" t="s">
        <v>858</v>
      </c>
      <c r="D164" s="18" t="s">
        <v>859</v>
      </c>
      <c r="E164" s="17" t="s">
        <v>65</v>
      </c>
      <c r="F164" s="19" t="n">
        <v>2.4</v>
      </c>
      <c r="G164" s="20" t="s">
        <v>434</v>
      </c>
      <c r="H164" s="20" t="s">
        <v>450</v>
      </c>
      <c r="I164" s="20" t="s">
        <v>860</v>
      </c>
      <c r="J164" s="20" t="s">
        <v>451</v>
      </c>
      <c r="K164" s="21" t="str">
        <f aca="false">IF(OR(G164="",H164="",I164=""),"",G164&amp;H164&amp;I164&amp;J164)</f>
        <v>MPBA313SC</v>
      </c>
      <c r="L164" s="18" t="s">
        <v>861</v>
      </c>
      <c r="M164" s="18" t="s">
        <v>862</v>
      </c>
      <c r="N164" s="22" t="s">
        <v>6</v>
      </c>
      <c r="O164" s="17" t="str">
        <f aca="false">IF(K164="","",IF(COUNTIF($K$5:$K$327,K164)&gt;1,"DUPLICADO","Único"))</f>
        <v>Único</v>
      </c>
      <c r="P164" s="18" t="s">
        <v>454</v>
      </c>
      <c r="Q164" s="18"/>
      <c r="R164" s="17"/>
    </row>
    <row r="165" customFormat="false" ht="23.85" hidden="false" customHeight="false" outlineLevel="0" collapsed="false">
      <c r="A165" s="17" t="s">
        <v>434</v>
      </c>
      <c r="B165" s="17" t="s">
        <v>435</v>
      </c>
      <c r="C165" s="17" t="s">
        <v>863</v>
      </c>
      <c r="D165" s="18" t="s">
        <v>864</v>
      </c>
      <c r="E165" s="17" t="s">
        <v>65</v>
      </c>
      <c r="F165" s="19" t="n">
        <v>1</v>
      </c>
      <c r="G165" s="20" t="s">
        <v>434</v>
      </c>
      <c r="H165" s="20" t="s">
        <v>439</v>
      </c>
      <c r="I165" s="20" t="s">
        <v>865</v>
      </c>
      <c r="J165" s="20" t="s">
        <v>451</v>
      </c>
      <c r="K165" s="21" t="str">
        <f aca="false">IF(OR(G165="",H165="",I165=""),"",G165&amp;H165&amp;I165&amp;J165)</f>
        <v>MPAC430SC</v>
      </c>
      <c r="L165" s="18" t="s">
        <v>866</v>
      </c>
      <c r="M165" s="18" t="s">
        <v>867</v>
      </c>
      <c r="N165" s="22" t="s">
        <v>6</v>
      </c>
      <c r="O165" s="17" t="str">
        <f aca="false">IF(K165="","",IF(COUNTIF($K$5:$K$327,K165)&gt;1,"DUPLICADO","Único"))</f>
        <v>Único</v>
      </c>
      <c r="P165" s="18" t="s">
        <v>454</v>
      </c>
      <c r="Q165" s="18"/>
      <c r="R165" s="17"/>
    </row>
    <row r="166" customFormat="false" ht="23.85" hidden="false" customHeight="false" outlineLevel="0" collapsed="false">
      <c r="A166" s="17" t="s">
        <v>434</v>
      </c>
      <c r="B166" s="17" t="s">
        <v>435</v>
      </c>
      <c r="C166" s="17" t="s">
        <v>868</v>
      </c>
      <c r="D166" s="18" t="s">
        <v>869</v>
      </c>
      <c r="E166" s="17" t="s">
        <v>65</v>
      </c>
      <c r="F166" s="19" t="n">
        <v>10</v>
      </c>
      <c r="G166" s="20" t="s">
        <v>434</v>
      </c>
      <c r="H166" s="20" t="s">
        <v>450</v>
      </c>
      <c r="I166" s="20" t="s">
        <v>870</v>
      </c>
      <c r="J166" s="20" t="s">
        <v>451</v>
      </c>
      <c r="K166" s="21" t="str">
        <f aca="false">IF(OR(G166="",H166="",I166=""),"",G166&amp;H166&amp;I166&amp;J166)</f>
        <v>MPBA314SC</v>
      </c>
      <c r="L166" s="18" t="s">
        <v>871</v>
      </c>
      <c r="M166" s="18" t="s">
        <v>872</v>
      </c>
      <c r="N166" s="22" t="s">
        <v>6</v>
      </c>
      <c r="O166" s="17" t="str">
        <f aca="false">IF(K166="","",IF(COUNTIF($K$5:$K$327,K166)&gt;1,"DUPLICADO","Único"))</f>
        <v>Único</v>
      </c>
      <c r="P166" s="18" t="s">
        <v>454</v>
      </c>
      <c r="Q166" s="18"/>
      <c r="R166" s="17"/>
    </row>
    <row r="167" customFormat="false" ht="15" hidden="false" customHeight="false" outlineLevel="0" collapsed="false">
      <c r="A167" s="17" t="s">
        <v>434</v>
      </c>
      <c r="B167" s="17" t="s">
        <v>435</v>
      </c>
      <c r="C167" s="17" t="s">
        <v>873</v>
      </c>
      <c r="D167" s="18" t="s">
        <v>874</v>
      </c>
      <c r="E167" s="17" t="s">
        <v>65</v>
      </c>
      <c r="F167" s="19" t="n">
        <v>5</v>
      </c>
      <c r="G167" s="20" t="s">
        <v>434</v>
      </c>
      <c r="H167" s="20" t="s">
        <v>450</v>
      </c>
      <c r="I167" s="20" t="s">
        <v>875</v>
      </c>
      <c r="J167" s="20" t="s">
        <v>451</v>
      </c>
      <c r="K167" s="21" t="str">
        <f aca="false">IF(OR(G167="",H167="",I167=""),"",G167&amp;H167&amp;I167&amp;J167)</f>
        <v>MPBA315SC</v>
      </c>
      <c r="L167" s="18" t="s">
        <v>876</v>
      </c>
      <c r="M167" s="18" t="s">
        <v>877</v>
      </c>
      <c r="N167" s="22" t="s">
        <v>6</v>
      </c>
      <c r="O167" s="17" t="str">
        <f aca="false">IF(K167="","",IF(COUNTIF($K$5:$K$327,K167)&gt;1,"DUPLICADO","Único"))</f>
        <v>Único</v>
      </c>
      <c r="P167" s="18" t="s">
        <v>454</v>
      </c>
      <c r="Q167" s="18"/>
      <c r="R167" s="17"/>
    </row>
    <row r="168" customFormat="false" ht="23.85" hidden="false" customHeight="false" outlineLevel="0" collapsed="false">
      <c r="A168" s="17" t="s">
        <v>434</v>
      </c>
      <c r="B168" s="17" t="s">
        <v>435</v>
      </c>
      <c r="C168" s="17" t="s">
        <v>878</v>
      </c>
      <c r="D168" s="18" t="s">
        <v>879</v>
      </c>
      <c r="E168" s="17" t="s">
        <v>65</v>
      </c>
      <c r="F168" s="19" t="n">
        <v>20</v>
      </c>
      <c r="G168" s="20" t="s">
        <v>434</v>
      </c>
      <c r="H168" s="20" t="s">
        <v>439</v>
      </c>
      <c r="I168" s="20" t="s">
        <v>880</v>
      </c>
      <c r="J168" s="20" t="s">
        <v>451</v>
      </c>
      <c r="K168" s="21" t="str">
        <f aca="false">IF(OR(G168="",H168="",I168=""),"",G168&amp;H168&amp;I168&amp;J168)</f>
        <v>MPAC431SC</v>
      </c>
      <c r="L168" s="18" t="s">
        <v>881</v>
      </c>
      <c r="M168" s="18" t="s">
        <v>882</v>
      </c>
      <c r="N168" s="22" t="s">
        <v>6</v>
      </c>
      <c r="O168" s="17" t="str">
        <f aca="false">IF(K168="","",IF(COUNTIF($K$5:$K$327,K168)&gt;1,"DUPLICADO","Único"))</f>
        <v>Único</v>
      </c>
      <c r="P168" s="18" t="s">
        <v>454</v>
      </c>
      <c r="Q168" s="18"/>
      <c r="R168" s="17"/>
    </row>
    <row r="169" customFormat="false" ht="23.85" hidden="false" customHeight="false" outlineLevel="0" collapsed="false">
      <c r="A169" s="17" t="s">
        <v>434</v>
      </c>
      <c r="B169" s="17" t="s">
        <v>435</v>
      </c>
      <c r="C169" s="17" t="s">
        <v>883</v>
      </c>
      <c r="D169" s="18" t="s">
        <v>884</v>
      </c>
      <c r="E169" s="17"/>
      <c r="F169" s="19" t="n">
        <v>0</v>
      </c>
      <c r="G169" s="20"/>
      <c r="H169" s="20"/>
      <c r="I169" s="20"/>
      <c r="J169" s="20"/>
      <c r="K169" s="21" t="str">
        <f aca="false">IF(OR(G169="",H169="",I169=""),"",G169&amp;H169&amp;I169&amp;J169)</f>
        <v/>
      </c>
      <c r="L169" s="18"/>
      <c r="M169" s="18"/>
      <c r="N169" s="23" t="s">
        <v>7</v>
      </c>
      <c r="O169" s="17" t="str">
        <f aca="false">IF(K169="","",IF(COUNTIF($K$5:$K$327,K169)&gt;1,"DUPLICADO","Único"))</f>
        <v/>
      </c>
      <c r="P169" s="18" t="s">
        <v>295</v>
      </c>
      <c r="Q169" s="18" t="s">
        <v>885</v>
      </c>
      <c r="R169" s="17"/>
    </row>
    <row r="170" customFormat="false" ht="23.85" hidden="false" customHeight="false" outlineLevel="0" collapsed="false">
      <c r="A170" s="17" t="s">
        <v>434</v>
      </c>
      <c r="B170" s="17" t="s">
        <v>435</v>
      </c>
      <c r="C170" s="17" t="s">
        <v>886</v>
      </c>
      <c r="D170" s="18" t="s">
        <v>887</v>
      </c>
      <c r="E170" s="17" t="s">
        <v>65</v>
      </c>
      <c r="F170" s="19" t="n">
        <v>52</v>
      </c>
      <c r="G170" s="20" t="s">
        <v>434</v>
      </c>
      <c r="H170" s="20" t="s">
        <v>439</v>
      </c>
      <c r="I170" s="20" t="s">
        <v>888</v>
      </c>
      <c r="J170" s="20" t="s">
        <v>451</v>
      </c>
      <c r="K170" s="21" t="str">
        <f aca="false">IF(OR(G170="",H170="",I170=""),"",G170&amp;H170&amp;I170&amp;J170)</f>
        <v>MPAC432SC</v>
      </c>
      <c r="L170" s="18" t="s">
        <v>889</v>
      </c>
      <c r="M170" s="18" t="s">
        <v>890</v>
      </c>
      <c r="N170" s="22" t="s">
        <v>6</v>
      </c>
      <c r="O170" s="17" t="str">
        <f aca="false">IF(K170="","",IF(COUNTIF($K$5:$K$327,K170)&gt;1,"DUPLICADO","Único"))</f>
        <v>Único</v>
      </c>
      <c r="P170" s="18" t="s">
        <v>454</v>
      </c>
      <c r="Q170" s="18"/>
      <c r="R170" s="17"/>
    </row>
    <row r="171" customFormat="false" ht="23.85" hidden="false" customHeight="false" outlineLevel="0" collapsed="false">
      <c r="A171" s="17" t="s">
        <v>434</v>
      </c>
      <c r="B171" s="17" t="s">
        <v>435</v>
      </c>
      <c r="C171" s="17" t="s">
        <v>891</v>
      </c>
      <c r="D171" s="18" t="s">
        <v>892</v>
      </c>
      <c r="E171" s="17" t="s">
        <v>65</v>
      </c>
      <c r="F171" s="19" t="n">
        <v>120</v>
      </c>
      <c r="G171" s="20" t="s">
        <v>434</v>
      </c>
      <c r="H171" s="20" t="s">
        <v>439</v>
      </c>
      <c r="I171" s="20" t="s">
        <v>241</v>
      </c>
      <c r="J171" s="20" t="s">
        <v>451</v>
      </c>
      <c r="K171" s="21" t="str">
        <f aca="false">IF(OR(G171="",H171="",I171=""),"",G171&amp;H171&amp;I171&amp;J171)</f>
        <v>MPAC400SC</v>
      </c>
      <c r="L171" s="18" t="s">
        <v>893</v>
      </c>
      <c r="M171" s="18" t="s">
        <v>894</v>
      </c>
      <c r="N171" s="24" t="s">
        <v>5</v>
      </c>
      <c r="O171" s="17" t="str">
        <f aca="false">IF(K171="","",IF(COUNTIF($K$5:$K$327,K171)&gt;1,"DUPLICADO","Único"))</f>
        <v>Único</v>
      </c>
      <c r="P171" s="18" t="s">
        <v>442</v>
      </c>
      <c r="Q171" s="18" t="s">
        <v>600</v>
      </c>
      <c r="R171" s="17"/>
    </row>
    <row r="172" customFormat="false" ht="23.85" hidden="false" customHeight="false" outlineLevel="0" collapsed="false">
      <c r="A172" s="17" t="s">
        <v>434</v>
      </c>
      <c r="B172" s="17" t="s">
        <v>435</v>
      </c>
      <c r="C172" s="17" t="s">
        <v>895</v>
      </c>
      <c r="D172" s="18" t="s">
        <v>896</v>
      </c>
      <c r="E172" s="17" t="s">
        <v>65</v>
      </c>
      <c r="F172" s="19" t="n">
        <v>63</v>
      </c>
      <c r="G172" s="20" t="s">
        <v>434</v>
      </c>
      <c r="H172" s="20" t="s">
        <v>439</v>
      </c>
      <c r="I172" s="20" t="s">
        <v>897</v>
      </c>
      <c r="J172" s="20" t="s">
        <v>451</v>
      </c>
      <c r="K172" s="21" t="str">
        <f aca="false">IF(OR(G172="",H172="",I172=""),"",G172&amp;H172&amp;I172&amp;J172)</f>
        <v>MPAC433SC</v>
      </c>
      <c r="L172" s="18" t="s">
        <v>898</v>
      </c>
      <c r="M172" s="18" t="s">
        <v>899</v>
      </c>
      <c r="N172" s="22" t="s">
        <v>6</v>
      </c>
      <c r="O172" s="17" t="str">
        <f aca="false">IF(K172="","",IF(COUNTIF($K$5:$K$327,K172)&gt;1,"DUPLICADO","Único"))</f>
        <v>Único</v>
      </c>
      <c r="P172" s="18" t="s">
        <v>454</v>
      </c>
      <c r="Q172" s="18"/>
      <c r="R172" s="17"/>
    </row>
    <row r="173" customFormat="false" ht="23.85" hidden="false" customHeight="false" outlineLevel="0" collapsed="false">
      <c r="A173" s="17" t="s">
        <v>434</v>
      </c>
      <c r="B173" s="17" t="s">
        <v>435</v>
      </c>
      <c r="C173" s="17" t="s">
        <v>900</v>
      </c>
      <c r="D173" s="18" t="s">
        <v>901</v>
      </c>
      <c r="E173" s="17" t="s">
        <v>65</v>
      </c>
      <c r="F173" s="19" t="n">
        <v>5.106</v>
      </c>
      <c r="G173" s="20" t="s">
        <v>434</v>
      </c>
      <c r="H173" s="20" t="s">
        <v>439</v>
      </c>
      <c r="I173" s="20" t="s">
        <v>902</v>
      </c>
      <c r="J173" s="20" t="s">
        <v>451</v>
      </c>
      <c r="K173" s="21" t="str">
        <f aca="false">IF(OR(G173="",H173="",I173=""),"",G173&amp;H173&amp;I173&amp;J173)</f>
        <v>MPAC434SC</v>
      </c>
      <c r="L173" s="18" t="s">
        <v>903</v>
      </c>
      <c r="M173" s="18" t="s">
        <v>904</v>
      </c>
      <c r="N173" s="22" t="s">
        <v>6</v>
      </c>
      <c r="O173" s="17" t="str">
        <f aca="false">IF(K173="","",IF(COUNTIF($K$5:$K$327,K173)&gt;1,"DUPLICADO","Único"))</f>
        <v>Único</v>
      </c>
      <c r="P173" s="18" t="s">
        <v>454</v>
      </c>
      <c r="Q173" s="18"/>
      <c r="R173" s="17"/>
    </row>
    <row r="174" customFormat="false" ht="23.85" hidden="false" customHeight="false" outlineLevel="0" collapsed="false">
      <c r="A174" s="17" t="s">
        <v>434</v>
      </c>
      <c r="B174" s="17" t="s">
        <v>435</v>
      </c>
      <c r="C174" s="17" t="s">
        <v>905</v>
      </c>
      <c r="D174" s="18" t="s">
        <v>906</v>
      </c>
      <c r="E174" s="17" t="s">
        <v>65</v>
      </c>
      <c r="F174" s="19" t="n">
        <v>12.64</v>
      </c>
      <c r="G174" s="20" t="s">
        <v>434</v>
      </c>
      <c r="H174" s="20" t="s">
        <v>438</v>
      </c>
      <c r="I174" s="20" t="s">
        <v>205</v>
      </c>
      <c r="J174" s="20" t="s">
        <v>439</v>
      </c>
      <c r="K174" s="21" t="str">
        <f aca="false">IF(OR(G174="",H174="",I174=""),"",G174&amp;H174&amp;I174&amp;J174)</f>
        <v>MPFR205AC</v>
      </c>
      <c r="L174" s="18" t="s">
        <v>907</v>
      </c>
      <c r="M174" s="18" t="s">
        <v>908</v>
      </c>
      <c r="N174" s="24" t="s">
        <v>5</v>
      </c>
      <c r="O174" s="17" t="str">
        <f aca="false">IF(K174="","",IF(COUNTIF($K$5:$K$327,K174)&gt;1,"DUPLICADO","Único"))</f>
        <v>Único</v>
      </c>
      <c r="P174" s="18" t="s">
        <v>442</v>
      </c>
      <c r="Q174" s="18"/>
      <c r="R174" s="17"/>
    </row>
    <row r="175" customFormat="false" ht="15" hidden="false" customHeight="false" outlineLevel="0" collapsed="false">
      <c r="A175" s="17" t="s">
        <v>434</v>
      </c>
      <c r="B175" s="17" t="s">
        <v>435</v>
      </c>
      <c r="C175" s="17" t="s">
        <v>909</v>
      </c>
      <c r="D175" s="18" t="s">
        <v>910</v>
      </c>
      <c r="E175" s="17" t="s">
        <v>65</v>
      </c>
      <c r="F175" s="19" t="n">
        <v>12.75</v>
      </c>
      <c r="G175" s="20" t="s">
        <v>434</v>
      </c>
      <c r="H175" s="20" t="s">
        <v>450</v>
      </c>
      <c r="I175" s="20" t="s">
        <v>911</v>
      </c>
      <c r="J175" s="20" t="s">
        <v>451</v>
      </c>
      <c r="K175" s="21" t="str">
        <f aca="false">IF(OR(G175="",H175="",I175=""),"",G175&amp;H175&amp;I175&amp;J175)</f>
        <v>MPBA316SC</v>
      </c>
      <c r="L175" s="18" t="s">
        <v>912</v>
      </c>
      <c r="M175" s="18" t="s">
        <v>913</v>
      </c>
      <c r="N175" s="22" t="s">
        <v>6</v>
      </c>
      <c r="O175" s="17" t="str">
        <f aca="false">IF(K175="","",IF(COUNTIF($K$5:$K$327,K175)&gt;1,"DUPLICADO","Único"))</f>
        <v>Único</v>
      </c>
      <c r="P175" s="18" t="s">
        <v>454</v>
      </c>
      <c r="Q175" s="18"/>
      <c r="R175" s="17"/>
    </row>
    <row r="176" customFormat="false" ht="23.85" hidden="false" customHeight="false" outlineLevel="0" collapsed="false">
      <c r="A176" s="17" t="s">
        <v>434</v>
      </c>
      <c r="B176" s="17" t="s">
        <v>435</v>
      </c>
      <c r="C176" s="17" t="s">
        <v>914</v>
      </c>
      <c r="D176" s="18" t="s">
        <v>915</v>
      </c>
      <c r="E176" s="17" t="s">
        <v>65</v>
      </c>
      <c r="F176" s="19" t="n">
        <v>0</v>
      </c>
      <c r="G176" s="20" t="s">
        <v>434</v>
      </c>
      <c r="H176" s="20" t="s">
        <v>439</v>
      </c>
      <c r="I176" s="20" t="s">
        <v>916</v>
      </c>
      <c r="J176" s="20" t="s">
        <v>451</v>
      </c>
      <c r="K176" s="21" t="str">
        <f aca="false">IF(OR(G176="",H176="",I176=""),"",G176&amp;H176&amp;I176&amp;J176)</f>
        <v>MPAC435SC</v>
      </c>
      <c r="L176" s="18" t="s">
        <v>917</v>
      </c>
      <c r="M176" s="18" t="s">
        <v>918</v>
      </c>
      <c r="N176" s="22" t="s">
        <v>6</v>
      </c>
      <c r="O176" s="17" t="str">
        <f aca="false">IF(K176="","",IF(COUNTIF($K$5:$K$327,K176)&gt;1,"DUPLICADO","Único"))</f>
        <v>Único</v>
      </c>
      <c r="P176" s="18" t="s">
        <v>454</v>
      </c>
      <c r="Q176" s="18"/>
      <c r="R176" s="17"/>
    </row>
    <row r="177" customFormat="false" ht="23.85" hidden="false" customHeight="false" outlineLevel="0" collapsed="false">
      <c r="A177" s="17" t="s">
        <v>434</v>
      </c>
      <c r="B177" s="17" t="s">
        <v>435</v>
      </c>
      <c r="C177" s="17" t="s">
        <v>919</v>
      </c>
      <c r="D177" s="18" t="s">
        <v>920</v>
      </c>
      <c r="E177" s="17" t="s">
        <v>65</v>
      </c>
      <c r="F177" s="19" t="n">
        <v>11.4</v>
      </c>
      <c r="G177" s="20" t="s">
        <v>434</v>
      </c>
      <c r="H177" s="20" t="s">
        <v>439</v>
      </c>
      <c r="I177" s="20" t="s">
        <v>921</v>
      </c>
      <c r="J177" s="20" t="s">
        <v>451</v>
      </c>
      <c r="K177" s="21" t="str">
        <f aca="false">IF(OR(G177="",H177="",I177=""),"",G177&amp;H177&amp;I177&amp;J177)</f>
        <v>MPAC436SC</v>
      </c>
      <c r="L177" s="18" t="s">
        <v>922</v>
      </c>
      <c r="M177" s="18" t="s">
        <v>923</v>
      </c>
      <c r="N177" s="22" t="s">
        <v>6</v>
      </c>
      <c r="O177" s="17" t="str">
        <f aca="false">IF(K177="","",IF(COUNTIF($K$5:$K$327,K177)&gt;1,"DUPLICADO","Único"))</f>
        <v>Único</v>
      </c>
      <c r="P177" s="18" t="s">
        <v>454</v>
      </c>
      <c r="Q177" s="18"/>
      <c r="R177" s="17"/>
    </row>
    <row r="178" customFormat="false" ht="23.85" hidden="false" customHeight="false" outlineLevel="0" collapsed="false">
      <c r="A178" s="17" t="s">
        <v>434</v>
      </c>
      <c r="B178" s="17" t="s">
        <v>435</v>
      </c>
      <c r="C178" s="17" t="s">
        <v>924</v>
      </c>
      <c r="D178" s="18" t="s">
        <v>925</v>
      </c>
      <c r="E178" s="17" t="s">
        <v>65</v>
      </c>
      <c r="F178" s="19" t="n">
        <v>0</v>
      </c>
      <c r="G178" s="20" t="s">
        <v>434</v>
      </c>
      <c r="H178" s="20" t="s">
        <v>439</v>
      </c>
      <c r="I178" s="20" t="s">
        <v>926</v>
      </c>
      <c r="J178" s="20" t="s">
        <v>451</v>
      </c>
      <c r="K178" s="21" t="str">
        <f aca="false">IF(OR(G178="",H178="",I178=""),"",G178&amp;H178&amp;I178&amp;J178)</f>
        <v>MPAC437SC</v>
      </c>
      <c r="L178" s="18" t="s">
        <v>927</v>
      </c>
      <c r="M178" s="18" t="s">
        <v>928</v>
      </c>
      <c r="N178" s="22" t="s">
        <v>6</v>
      </c>
      <c r="O178" s="17" t="str">
        <f aca="false">IF(K178="","",IF(COUNTIF($K$5:$K$327,K178)&gt;1,"DUPLICADO","Único"))</f>
        <v>Único</v>
      </c>
      <c r="P178" s="18" t="s">
        <v>454</v>
      </c>
      <c r="Q178" s="18"/>
      <c r="R178" s="17"/>
    </row>
    <row r="179" customFormat="false" ht="23.85" hidden="false" customHeight="false" outlineLevel="0" collapsed="false">
      <c r="A179" s="17" t="s">
        <v>434</v>
      </c>
      <c r="B179" s="17" t="s">
        <v>435</v>
      </c>
      <c r="C179" s="17" t="s">
        <v>929</v>
      </c>
      <c r="D179" s="18" t="s">
        <v>930</v>
      </c>
      <c r="E179" s="17" t="s">
        <v>65</v>
      </c>
      <c r="F179" s="19" t="n">
        <v>99</v>
      </c>
      <c r="G179" s="20" t="s">
        <v>434</v>
      </c>
      <c r="H179" s="20" t="s">
        <v>439</v>
      </c>
      <c r="I179" s="20" t="s">
        <v>931</v>
      </c>
      <c r="J179" s="20" t="s">
        <v>451</v>
      </c>
      <c r="K179" s="21" t="str">
        <f aca="false">IF(OR(G179="",H179="",I179=""),"",G179&amp;H179&amp;I179&amp;J179)</f>
        <v>MPAC438SC</v>
      </c>
      <c r="L179" s="18" t="s">
        <v>932</v>
      </c>
      <c r="M179" s="18" t="s">
        <v>933</v>
      </c>
      <c r="N179" s="22" t="s">
        <v>6</v>
      </c>
      <c r="O179" s="17" t="str">
        <f aca="false">IF(K179="","",IF(COUNTIF($K$5:$K$327,K179)&gt;1,"DUPLICADO","Único"))</f>
        <v>Único</v>
      </c>
      <c r="P179" s="18" t="s">
        <v>454</v>
      </c>
      <c r="Q179" s="18"/>
      <c r="R179" s="17"/>
    </row>
    <row r="180" customFormat="false" ht="23.85" hidden="false" customHeight="false" outlineLevel="0" collapsed="false">
      <c r="A180" s="17" t="s">
        <v>434</v>
      </c>
      <c r="B180" s="17" t="s">
        <v>435</v>
      </c>
      <c r="C180" s="17" t="s">
        <v>934</v>
      </c>
      <c r="D180" s="18" t="s">
        <v>935</v>
      </c>
      <c r="E180" s="17" t="s">
        <v>568</v>
      </c>
      <c r="F180" s="19" t="n">
        <v>1</v>
      </c>
      <c r="G180" s="20" t="s">
        <v>434</v>
      </c>
      <c r="H180" s="20" t="s">
        <v>467</v>
      </c>
      <c r="I180" s="20" t="s">
        <v>936</v>
      </c>
      <c r="J180" s="20" t="s">
        <v>451</v>
      </c>
      <c r="K180" s="21" t="str">
        <f aca="false">IF(OR(G180="",H180="",I180=""),"",G180&amp;H180&amp;I180&amp;J180)</f>
        <v>MPAD707SC</v>
      </c>
      <c r="L180" s="18" t="s">
        <v>937</v>
      </c>
      <c r="M180" s="18" t="s">
        <v>938</v>
      </c>
      <c r="N180" s="22" t="s">
        <v>6</v>
      </c>
      <c r="O180" s="17" t="str">
        <f aca="false">IF(K180="","",IF(COUNTIF($K$5:$K$327,K180)&gt;1,"DUPLICADO","Único"))</f>
        <v>Único</v>
      </c>
      <c r="P180" s="18" t="s">
        <v>471</v>
      </c>
      <c r="Q180" s="18"/>
      <c r="R180" s="17"/>
    </row>
    <row r="181" customFormat="false" ht="23.85" hidden="false" customHeight="false" outlineLevel="0" collapsed="false">
      <c r="A181" s="17" t="s">
        <v>434</v>
      </c>
      <c r="B181" s="17" t="s">
        <v>435</v>
      </c>
      <c r="C181" s="17" t="s">
        <v>939</v>
      </c>
      <c r="D181" s="18" t="s">
        <v>940</v>
      </c>
      <c r="E181" s="17"/>
      <c r="F181" s="19" t="n">
        <v>0</v>
      </c>
      <c r="G181" s="20" t="s">
        <v>434</v>
      </c>
      <c r="H181" s="20" t="s">
        <v>439</v>
      </c>
      <c r="I181" s="20" t="s">
        <v>941</v>
      </c>
      <c r="J181" s="20" t="s">
        <v>451</v>
      </c>
      <c r="K181" s="21" t="str">
        <f aca="false">IF(OR(G181="",H181="",I181=""),"",G181&amp;H181&amp;I181&amp;J181)</f>
        <v>MPAC439SC</v>
      </c>
      <c r="L181" s="18" t="s">
        <v>942</v>
      </c>
      <c r="M181" s="18" t="s">
        <v>943</v>
      </c>
      <c r="N181" s="22" t="s">
        <v>6</v>
      </c>
      <c r="O181" s="17" t="str">
        <f aca="false">IF(K181="","",IF(COUNTIF($K$5:$K$327,K181)&gt;1,"DUPLICADO","Único"))</f>
        <v>Único</v>
      </c>
      <c r="P181" s="18" t="s">
        <v>454</v>
      </c>
      <c r="Q181" s="18"/>
      <c r="R181" s="17"/>
    </row>
    <row r="182" customFormat="false" ht="23.85" hidden="false" customHeight="false" outlineLevel="0" collapsed="false">
      <c r="A182" s="17" t="s">
        <v>434</v>
      </c>
      <c r="B182" s="17" t="s">
        <v>435</v>
      </c>
      <c r="C182" s="17" t="s">
        <v>944</v>
      </c>
      <c r="D182" s="18" t="s">
        <v>945</v>
      </c>
      <c r="E182" s="17" t="s">
        <v>65</v>
      </c>
      <c r="F182" s="19" t="n">
        <v>1.5</v>
      </c>
      <c r="G182" s="20" t="s">
        <v>434</v>
      </c>
      <c r="H182" s="20" t="s">
        <v>439</v>
      </c>
      <c r="I182" s="20" t="s">
        <v>946</v>
      </c>
      <c r="J182" s="20" t="s">
        <v>451</v>
      </c>
      <c r="K182" s="21" t="str">
        <f aca="false">IF(OR(G182="",H182="",I182=""),"",G182&amp;H182&amp;I182&amp;J182)</f>
        <v>MPAC440SC</v>
      </c>
      <c r="L182" s="18" t="s">
        <v>947</v>
      </c>
      <c r="M182" s="18" t="s">
        <v>948</v>
      </c>
      <c r="N182" s="22" t="s">
        <v>6</v>
      </c>
      <c r="O182" s="17" t="str">
        <f aca="false">IF(K182="","",IF(COUNTIF($K$5:$K$327,K182)&gt;1,"DUPLICADO","Único"))</f>
        <v>Único</v>
      </c>
      <c r="P182" s="18" t="s">
        <v>454</v>
      </c>
      <c r="Q182" s="18"/>
      <c r="R182" s="17"/>
    </row>
    <row r="183" customFormat="false" ht="23.85" hidden="false" customHeight="false" outlineLevel="0" collapsed="false">
      <c r="A183" s="17" t="s">
        <v>434</v>
      </c>
      <c r="B183" s="17" t="s">
        <v>435</v>
      </c>
      <c r="C183" s="17" t="s">
        <v>949</v>
      </c>
      <c r="D183" s="18" t="s">
        <v>950</v>
      </c>
      <c r="E183" s="17" t="s">
        <v>65</v>
      </c>
      <c r="F183" s="19" t="n">
        <v>0</v>
      </c>
      <c r="G183" s="20" t="s">
        <v>434</v>
      </c>
      <c r="H183" s="20" t="s">
        <v>450</v>
      </c>
      <c r="I183" s="20" t="s">
        <v>951</v>
      </c>
      <c r="J183" s="20" t="s">
        <v>451</v>
      </c>
      <c r="K183" s="21" t="str">
        <f aca="false">IF(OR(G183="",H183="",I183=""),"",G183&amp;H183&amp;I183&amp;J183)</f>
        <v>MPBA317SC</v>
      </c>
      <c r="L183" s="18" t="s">
        <v>952</v>
      </c>
      <c r="M183" s="18" t="s">
        <v>953</v>
      </c>
      <c r="N183" s="22" t="s">
        <v>6</v>
      </c>
      <c r="O183" s="17" t="str">
        <f aca="false">IF(K183="","",IF(COUNTIF($K$5:$K$327,K183)&gt;1,"DUPLICADO","Único"))</f>
        <v>Único</v>
      </c>
      <c r="P183" s="18" t="s">
        <v>454</v>
      </c>
      <c r="Q183" s="18"/>
      <c r="R183" s="17"/>
    </row>
    <row r="184" customFormat="false" ht="23.85" hidden="false" customHeight="false" outlineLevel="0" collapsed="false">
      <c r="A184" s="17" t="s">
        <v>434</v>
      </c>
      <c r="B184" s="17" t="s">
        <v>435</v>
      </c>
      <c r="C184" s="17" t="s">
        <v>954</v>
      </c>
      <c r="D184" s="18" t="s">
        <v>955</v>
      </c>
      <c r="E184" s="17"/>
      <c r="F184" s="19" t="n">
        <v>0</v>
      </c>
      <c r="G184" s="20" t="s">
        <v>434</v>
      </c>
      <c r="H184" s="20" t="s">
        <v>438</v>
      </c>
      <c r="I184" s="20" t="s">
        <v>717</v>
      </c>
      <c r="J184" s="20" t="s">
        <v>439</v>
      </c>
      <c r="K184" s="21" t="str">
        <f aca="false">IF(OR(G184="",H184="",I184=""),"",G184&amp;H184&amp;I184&amp;J184)</f>
        <v>MPFR244AC</v>
      </c>
      <c r="L184" s="18" t="s">
        <v>956</v>
      </c>
      <c r="M184" s="18" t="s">
        <v>957</v>
      </c>
      <c r="N184" s="24" t="s">
        <v>5</v>
      </c>
      <c r="O184" s="17" t="str">
        <f aca="false">IF(K184="","",IF(COUNTIF($K$5:$K$327,K184)&gt;1,"DUPLICADO","Único"))</f>
        <v>Único</v>
      </c>
      <c r="P184" s="18" t="s">
        <v>442</v>
      </c>
      <c r="Q184" s="18"/>
      <c r="R184" s="17"/>
    </row>
    <row r="185" customFormat="false" ht="23.85" hidden="false" customHeight="false" outlineLevel="0" collapsed="false">
      <c r="A185" s="17" t="s">
        <v>434</v>
      </c>
      <c r="B185" s="17" t="s">
        <v>435</v>
      </c>
      <c r="C185" s="17" t="s">
        <v>958</v>
      </c>
      <c r="D185" s="18" t="s">
        <v>959</v>
      </c>
      <c r="E185" s="17" t="s">
        <v>65</v>
      </c>
      <c r="F185" s="19" t="n">
        <v>40.5</v>
      </c>
      <c r="G185" s="20" t="s">
        <v>434</v>
      </c>
      <c r="H185" s="20" t="s">
        <v>439</v>
      </c>
      <c r="I185" s="20" t="s">
        <v>960</v>
      </c>
      <c r="J185" s="20" t="s">
        <v>451</v>
      </c>
      <c r="K185" s="21" t="str">
        <f aca="false">IF(OR(G185="",H185="",I185=""),"",G185&amp;H185&amp;I185&amp;J185)</f>
        <v>MPAC441SC</v>
      </c>
      <c r="L185" s="18" t="s">
        <v>961</v>
      </c>
      <c r="M185" s="18" t="s">
        <v>962</v>
      </c>
      <c r="N185" s="22" t="s">
        <v>6</v>
      </c>
      <c r="O185" s="17" t="str">
        <f aca="false">IF(K185="","",IF(COUNTIF($K$5:$K$327,K185)&gt;1,"DUPLICADO","Único"))</f>
        <v>Único</v>
      </c>
      <c r="P185" s="18" t="s">
        <v>454</v>
      </c>
      <c r="Q185" s="18"/>
      <c r="R185" s="17"/>
    </row>
    <row r="186" customFormat="false" ht="23.85" hidden="false" customHeight="false" outlineLevel="0" collapsed="false">
      <c r="A186" s="17" t="s">
        <v>434</v>
      </c>
      <c r="B186" s="17" t="s">
        <v>435</v>
      </c>
      <c r="C186" s="17" t="s">
        <v>963</v>
      </c>
      <c r="D186" s="18" t="s">
        <v>964</v>
      </c>
      <c r="E186" s="17" t="s">
        <v>65</v>
      </c>
      <c r="F186" s="19" t="n">
        <v>42</v>
      </c>
      <c r="G186" s="20" t="s">
        <v>434</v>
      </c>
      <c r="H186" s="20" t="s">
        <v>439</v>
      </c>
      <c r="I186" s="20" t="s">
        <v>965</v>
      </c>
      <c r="J186" s="20" t="s">
        <v>451</v>
      </c>
      <c r="K186" s="21" t="str">
        <f aca="false">IF(OR(G186="",H186="",I186=""),"",G186&amp;H186&amp;I186&amp;J186)</f>
        <v>MPAC442SC</v>
      </c>
      <c r="L186" s="18" t="s">
        <v>966</v>
      </c>
      <c r="M186" s="18" t="s">
        <v>967</v>
      </c>
      <c r="N186" s="22" t="s">
        <v>6</v>
      </c>
      <c r="O186" s="17" t="str">
        <f aca="false">IF(K186="","",IF(COUNTIF($K$5:$K$327,K186)&gt;1,"DUPLICADO","Único"))</f>
        <v>Único</v>
      </c>
      <c r="P186" s="18" t="s">
        <v>454</v>
      </c>
      <c r="Q186" s="18"/>
      <c r="R186" s="17"/>
    </row>
    <row r="187" customFormat="false" ht="23.85" hidden="false" customHeight="false" outlineLevel="0" collapsed="false">
      <c r="A187" s="17" t="s">
        <v>434</v>
      </c>
      <c r="B187" s="17" t="s">
        <v>435</v>
      </c>
      <c r="C187" s="17" t="s">
        <v>968</v>
      </c>
      <c r="D187" s="18" t="s">
        <v>969</v>
      </c>
      <c r="E187" s="17" t="s">
        <v>65</v>
      </c>
      <c r="F187" s="19" t="n">
        <v>16.8</v>
      </c>
      <c r="G187" s="20" t="s">
        <v>434</v>
      </c>
      <c r="H187" s="20" t="s">
        <v>439</v>
      </c>
      <c r="I187" s="20" t="s">
        <v>970</v>
      </c>
      <c r="J187" s="20" t="s">
        <v>451</v>
      </c>
      <c r="K187" s="21" t="str">
        <f aca="false">IF(OR(G187="",H187="",I187=""),"",G187&amp;H187&amp;I187&amp;J187)</f>
        <v>MPAC443SC</v>
      </c>
      <c r="L187" s="18" t="s">
        <v>971</v>
      </c>
      <c r="M187" s="18" t="s">
        <v>972</v>
      </c>
      <c r="N187" s="22" t="s">
        <v>6</v>
      </c>
      <c r="O187" s="17" t="str">
        <f aca="false">IF(K187="","",IF(COUNTIF($K$5:$K$327,K187)&gt;1,"DUPLICADO","Único"))</f>
        <v>Único</v>
      </c>
      <c r="P187" s="18" t="s">
        <v>454</v>
      </c>
      <c r="Q187" s="18"/>
      <c r="R187" s="17"/>
    </row>
    <row r="188" customFormat="false" ht="23.85" hidden="false" customHeight="false" outlineLevel="0" collapsed="false">
      <c r="A188" s="17" t="s">
        <v>434</v>
      </c>
      <c r="B188" s="17" t="s">
        <v>435</v>
      </c>
      <c r="C188" s="17" t="s">
        <v>973</v>
      </c>
      <c r="D188" s="18" t="s">
        <v>974</v>
      </c>
      <c r="E188" s="17" t="s">
        <v>65</v>
      </c>
      <c r="F188" s="19" t="n">
        <v>0</v>
      </c>
      <c r="G188" s="20" t="s">
        <v>434</v>
      </c>
      <c r="H188" s="20" t="s">
        <v>439</v>
      </c>
      <c r="I188" s="20" t="s">
        <v>975</v>
      </c>
      <c r="J188" s="20" t="s">
        <v>451</v>
      </c>
      <c r="K188" s="21" t="str">
        <f aca="false">IF(OR(G188="",H188="",I188=""),"",G188&amp;H188&amp;I188&amp;J188)</f>
        <v>MPAC444SC</v>
      </c>
      <c r="L188" s="18" t="s">
        <v>976</v>
      </c>
      <c r="M188" s="18" t="s">
        <v>977</v>
      </c>
      <c r="N188" s="22" t="s">
        <v>6</v>
      </c>
      <c r="O188" s="17" t="str">
        <f aca="false">IF(K188="","",IF(COUNTIF($K$5:$K$327,K188)&gt;1,"DUPLICADO","Único"))</f>
        <v>Único</v>
      </c>
      <c r="P188" s="18" t="s">
        <v>454</v>
      </c>
      <c r="Q188" s="18"/>
      <c r="R188" s="17"/>
    </row>
    <row r="189" customFormat="false" ht="23.85" hidden="false" customHeight="false" outlineLevel="0" collapsed="false">
      <c r="A189" s="17" t="s">
        <v>434</v>
      </c>
      <c r="B189" s="17" t="s">
        <v>435</v>
      </c>
      <c r="C189" s="17" t="s">
        <v>978</v>
      </c>
      <c r="D189" s="18" t="s">
        <v>979</v>
      </c>
      <c r="E189" s="17" t="s">
        <v>65</v>
      </c>
      <c r="F189" s="19" t="n">
        <v>0</v>
      </c>
      <c r="G189" s="20" t="s">
        <v>434</v>
      </c>
      <c r="H189" s="20" t="s">
        <v>439</v>
      </c>
      <c r="I189" s="20" t="s">
        <v>980</v>
      </c>
      <c r="J189" s="20" t="s">
        <v>451</v>
      </c>
      <c r="K189" s="21" t="str">
        <f aca="false">IF(OR(G189="",H189="",I189=""),"",G189&amp;H189&amp;I189&amp;J189)</f>
        <v>MPAC445SC</v>
      </c>
      <c r="L189" s="18" t="s">
        <v>981</v>
      </c>
      <c r="M189" s="18" t="s">
        <v>982</v>
      </c>
      <c r="N189" s="22" t="s">
        <v>6</v>
      </c>
      <c r="O189" s="17" t="str">
        <f aca="false">IF(K189="","",IF(COUNTIF($K$5:$K$327,K189)&gt;1,"DUPLICADO","Único"))</f>
        <v>Único</v>
      </c>
      <c r="P189" s="18" t="s">
        <v>454</v>
      </c>
      <c r="Q189" s="18"/>
      <c r="R189" s="17"/>
    </row>
    <row r="190" customFormat="false" ht="23.85" hidden="false" customHeight="false" outlineLevel="0" collapsed="false">
      <c r="A190" s="17" t="s">
        <v>434</v>
      </c>
      <c r="B190" s="17" t="s">
        <v>435</v>
      </c>
      <c r="C190" s="17" t="s">
        <v>983</v>
      </c>
      <c r="D190" s="18" t="s">
        <v>984</v>
      </c>
      <c r="E190" s="17" t="s">
        <v>65</v>
      </c>
      <c r="F190" s="19" t="n">
        <v>75</v>
      </c>
      <c r="G190" s="20" t="s">
        <v>434</v>
      </c>
      <c r="H190" s="20" t="s">
        <v>439</v>
      </c>
      <c r="I190" s="20" t="s">
        <v>985</v>
      </c>
      <c r="J190" s="20" t="s">
        <v>451</v>
      </c>
      <c r="K190" s="21" t="str">
        <f aca="false">IF(OR(G190="",H190="",I190=""),"",G190&amp;H190&amp;I190&amp;J190)</f>
        <v>MPAC446SC</v>
      </c>
      <c r="L190" s="18" t="s">
        <v>986</v>
      </c>
      <c r="M190" s="18" t="s">
        <v>987</v>
      </c>
      <c r="N190" s="22" t="s">
        <v>6</v>
      </c>
      <c r="O190" s="17" t="str">
        <f aca="false">IF(K190="","",IF(COUNTIF($K$5:$K$327,K190)&gt;1,"DUPLICADO","Único"))</f>
        <v>Único</v>
      </c>
      <c r="P190" s="18" t="s">
        <v>454</v>
      </c>
      <c r="Q190" s="18"/>
      <c r="R190" s="17"/>
    </row>
    <row r="191" customFormat="false" ht="15" hidden="false" customHeight="false" outlineLevel="0" collapsed="false">
      <c r="A191" s="17" t="s">
        <v>434</v>
      </c>
      <c r="B191" s="17" t="s">
        <v>435</v>
      </c>
      <c r="C191" s="17" t="s">
        <v>988</v>
      </c>
      <c r="D191" s="18" t="s">
        <v>989</v>
      </c>
      <c r="E191" s="17" t="s">
        <v>65</v>
      </c>
      <c r="F191" s="19" t="n">
        <v>0</v>
      </c>
      <c r="G191" s="20" t="s">
        <v>434</v>
      </c>
      <c r="H191" s="20" t="s">
        <v>439</v>
      </c>
      <c r="I191" s="20" t="s">
        <v>990</v>
      </c>
      <c r="J191" s="20" t="s">
        <v>451</v>
      </c>
      <c r="K191" s="21" t="str">
        <f aca="false">IF(OR(G191="",H191="",I191=""),"",G191&amp;H191&amp;I191&amp;J191)</f>
        <v>MPAC447SC</v>
      </c>
      <c r="L191" s="18" t="s">
        <v>991</v>
      </c>
      <c r="M191" s="18" t="s">
        <v>992</v>
      </c>
      <c r="N191" s="22" t="s">
        <v>6</v>
      </c>
      <c r="O191" s="17" t="str">
        <f aca="false">IF(K191="","",IF(COUNTIF($K$5:$K$327,K191)&gt;1,"DUPLICADO","Único"))</f>
        <v>Único</v>
      </c>
      <c r="P191" s="18" t="s">
        <v>454</v>
      </c>
      <c r="Q191" s="18"/>
      <c r="R191" s="17"/>
    </row>
    <row r="192" customFormat="false" ht="23.85" hidden="false" customHeight="false" outlineLevel="0" collapsed="false">
      <c r="A192" s="17" t="s">
        <v>434</v>
      </c>
      <c r="B192" s="17" t="s">
        <v>435</v>
      </c>
      <c r="C192" s="17" t="s">
        <v>993</v>
      </c>
      <c r="D192" s="18" t="s">
        <v>994</v>
      </c>
      <c r="E192" s="17" t="s">
        <v>65</v>
      </c>
      <c r="F192" s="19" t="n">
        <v>77</v>
      </c>
      <c r="G192" s="20" t="s">
        <v>434</v>
      </c>
      <c r="H192" s="20" t="s">
        <v>439</v>
      </c>
      <c r="I192" s="20" t="s">
        <v>995</v>
      </c>
      <c r="J192" s="20" t="s">
        <v>451</v>
      </c>
      <c r="K192" s="21" t="str">
        <f aca="false">IF(OR(G192="",H192="",I192=""),"",G192&amp;H192&amp;I192&amp;J192)</f>
        <v>MPAC448SC</v>
      </c>
      <c r="L192" s="18" t="s">
        <v>996</v>
      </c>
      <c r="M192" s="18" t="s">
        <v>997</v>
      </c>
      <c r="N192" s="22" t="s">
        <v>6</v>
      </c>
      <c r="O192" s="17" t="str">
        <f aca="false">IF(K192="","",IF(COUNTIF($K$5:$K$327,K192)&gt;1,"DUPLICADO","Único"))</f>
        <v>Único</v>
      </c>
      <c r="P192" s="18" t="s">
        <v>454</v>
      </c>
      <c r="Q192" s="18"/>
      <c r="R192" s="17"/>
    </row>
    <row r="193" customFormat="false" ht="23.85" hidden="false" customHeight="false" outlineLevel="0" collapsed="false">
      <c r="A193" s="17" t="s">
        <v>434</v>
      </c>
      <c r="B193" s="17" t="s">
        <v>435</v>
      </c>
      <c r="C193" s="17" t="s">
        <v>998</v>
      </c>
      <c r="D193" s="18" t="s">
        <v>999</v>
      </c>
      <c r="E193" s="17" t="s">
        <v>65</v>
      </c>
      <c r="F193" s="19" t="n">
        <v>9.6</v>
      </c>
      <c r="G193" s="20" t="s">
        <v>434</v>
      </c>
      <c r="H193" s="20" t="s">
        <v>439</v>
      </c>
      <c r="I193" s="20" t="s">
        <v>1000</v>
      </c>
      <c r="J193" s="20" t="s">
        <v>451</v>
      </c>
      <c r="K193" s="21" t="str">
        <f aca="false">IF(OR(G193="",H193="",I193=""),"",G193&amp;H193&amp;I193&amp;J193)</f>
        <v>MPAC449SC</v>
      </c>
      <c r="L193" s="18" t="s">
        <v>1001</v>
      </c>
      <c r="M193" s="18" t="s">
        <v>1002</v>
      </c>
      <c r="N193" s="22" t="s">
        <v>6</v>
      </c>
      <c r="O193" s="17" t="str">
        <f aca="false">IF(K193="","",IF(COUNTIF($K$5:$K$327,K193)&gt;1,"DUPLICADO","Único"))</f>
        <v>Único</v>
      </c>
      <c r="P193" s="18" t="s">
        <v>454</v>
      </c>
      <c r="Q193" s="18"/>
      <c r="R193" s="17"/>
    </row>
    <row r="194" customFormat="false" ht="23.85" hidden="false" customHeight="false" outlineLevel="0" collapsed="false">
      <c r="A194" s="17" t="s">
        <v>434</v>
      </c>
      <c r="B194" s="17" t="s">
        <v>435</v>
      </c>
      <c r="C194" s="17" t="s">
        <v>1003</v>
      </c>
      <c r="D194" s="18" t="s">
        <v>1004</v>
      </c>
      <c r="E194" s="17" t="s">
        <v>65</v>
      </c>
      <c r="F194" s="19" t="n">
        <v>40</v>
      </c>
      <c r="G194" s="20" t="s">
        <v>434</v>
      </c>
      <c r="H194" s="20" t="s">
        <v>439</v>
      </c>
      <c r="I194" s="20" t="s">
        <v>1005</v>
      </c>
      <c r="J194" s="20" t="s">
        <v>451</v>
      </c>
      <c r="K194" s="21" t="str">
        <f aca="false">IF(OR(G194="",H194="",I194=""),"",G194&amp;H194&amp;I194&amp;J194)</f>
        <v>MPAC450SC</v>
      </c>
      <c r="L194" s="18" t="s">
        <v>1006</v>
      </c>
      <c r="M194" s="18" t="s">
        <v>1007</v>
      </c>
      <c r="N194" s="22" t="s">
        <v>6</v>
      </c>
      <c r="O194" s="17" t="str">
        <f aca="false">IF(K194="","",IF(COUNTIF($K$5:$K$327,K194)&gt;1,"DUPLICADO","Único"))</f>
        <v>Único</v>
      </c>
      <c r="P194" s="18" t="s">
        <v>454</v>
      </c>
      <c r="Q194" s="18"/>
      <c r="R194" s="17"/>
    </row>
    <row r="195" customFormat="false" ht="23.85" hidden="false" customHeight="false" outlineLevel="0" collapsed="false">
      <c r="A195" s="17" t="s">
        <v>434</v>
      </c>
      <c r="B195" s="17" t="s">
        <v>435</v>
      </c>
      <c r="C195" s="17" t="s">
        <v>1008</v>
      </c>
      <c r="D195" s="18" t="s">
        <v>1009</v>
      </c>
      <c r="E195" s="17" t="s">
        <v>65</v>
      </c>
      <c r="F195" s="19" t="n">
        <v>0</v>
      </c>
      <c r="G195" s="20" t="s">
        <v>434</v>
      </c>
      <c r="H195" s="20" t="s">
        <v>467</v>
      </c>
      <c r="I195" s="20" t="s">
        <v>1010</v>
      </c>
      <c r="J195" s="20" t="s">
        <v>451</v>
      </c>
      <c r="K195" s="21" t="str">
        <f aca="false">IF(OR(G195="",H195="",I195=""),"",G195&amp;H195&amp;I195&amp;J195)</f>
        <v>MPAD708SC</v>
      </c>
      <c r="L195" s="18" t="s">
        <v>1011</v>
      </c>
      <c r="M195" s="18" t="s">
        <v>1012</v>
      </c>
      <c r="N195" s="22" t="s">
        <v>6</v>
      </c>
      <c r="O195" s="17" t="str">
        <f aca="false">IF(K195="","",IF(COUNTIF($K$5:$K$327,K195)&gt;1,"DUPLICADO","Único"))</f>
        <v>Único</v>
      </c>
      <c r="P195" s="18" t="s">
        <v>471</v>
      </c>
      <c r="Q195" s="18"/>
      <c r="R195" s="17"/>
    </row>
    <row r="196" customFormat="false" ht="23.85" hidden="false" customHeight="false" outlineLevel="0" collapsed="false">
      <c r="A196" s="17" t="s">
        <v>434</v>
      </c>
      <c r="B196" s="17" t="s">
        <v>435</v>
      </c>
      <c r="C196" s="17" t="s">
        <v>1013</v>
      </c>
      <c r="D196" s="18" t="s">
        <v>1014</v>
      </c>
      <c r="E196" s="17"/>
      <c r="F196" s="19" t="n">
        <v>0</v>
      </c>
      <c r="G196" s="20" t="s">
        <v>434</v>
      </c>
      <c r="H196" s="20" t="s">
        <v>439</v>
      </c>
      <c r="I196" s="20" t="s">
        <v>1015</v>
      </c>
      <c r="J196" s="20" t="s">
        <v>451</v>
      </c>
      <c r="K196" s="21" t="str">
        <f aca="false">IF(OR(G196="",H196="",I196=""),"",G196&amp;H196&amp;I196&amp;J196)</f>
        <v>MPAC451SC</v>
      </c>
      <c r="L196" s="18" t="s">
        <v>1016</v>
      </c>
      <c r="M196" s="18" t="s">
        <v>1017</v>
      </c>
      <c r="N196" s="22" t="s">
        <v>6</v>
      </c>
      <c r="O196" s="17" t="str">
        <f aca="false">IF(K196="","",IF(COUNTIF($K$5:$K$327,K196)&gt;1,"DUPLICADO","Único"))</f>
        <v>Único</v>
      </c>
      <c r="P196" s="18" t="s">
        <v>454</v>
      </c>
      <c r="Q196" s="18"/>
      <c r="R196" s="17"/>
    </row>
    <row r="197" customFormat="false" ht="23.85" hidden="false" customHeight="false" outlineLevel="0" collapsed="false">
      <c r="A197" s="17" t="s">
        <v>434</v>
      </c>
      <c r="B197" s="17" t="s">
        <v>435</v>
      </c>
      <c r="C197" s="17" t="s">
        <v>1018</v>
      </c>
      <c r="D197" s="18" t="s">
        <v>1019</v>
      </c>
      <c r="E197" s="17" t="s">
        <v>65</v>
      </c>
      <c r="F197" s="19" t="n">
        <v>0</v>
      </c>
      <c r="G197" s="20" t="s">
        <v>434</v>
      </c>
      <c r="H197" s="20" t="s">
        <v>438</v>
      </c>
      <c r="I197" s="20" t="s">
        <v>1020</v>
      </c>
      <c r="J197" s="20" t="s">
        <v>439</v>
      </c>
      <c r="K197" s="21" t="str">
        <f aca="false">IF(OR(G197="",H197="",I197=""),"",G197&amp;H197&amp;I197&amp;J197)</f>
        <v>MPFR282AC</v>
      </c>
      <c r="L197" s="18" t="s">
        <v>1021</v>
      </c>
      <c r="M197" s="18" t="s">
        <v>1022</v>
      </c>
      <c r="N197" s="22" t="s">
        <v>6</v>
      </c>
      <c r="O197" s="17" t="str">
        <f aca="false">IF(K197="","",IF(COUNTIF($K$5:$K$327,K197)&gt;1,"DUPLICADO","Único"))</f>
        <v>Único</v>
      </c>
      <c r="P197" s="18" t="s">
        <v>454</v>
      </c>
      <c r="Q197" s="18" t="s">
        <v>725</v>
      </c>
      <c r="R197" s="17"/>
    </row>
    <row r="198" customFormat="false" ht="23.85" hidden="false" customHeight="false" outlineLevel="0" collapsed="false">
      <c r="A198" s="17" t="s">
        <v>434</v>
      </c>
      <c r="B198" s="17" t="s">
        <v>435</v>
      </c>
      <c r="C198" s="17" t="s">
        <v>1023</v>
      </c>
      <c r="D198" s="18" t="s">
        <v>1024</v>
      </c>
      <c r="E198" s="17" t="s">
        <v>65</v>
      </c>
      <c r="F198" s="19" t="n">
        <v>56</v>
      </c>
      <c r="G198" s="20" t="s">
        <v>434</v>
      </c>
      <c r="H198" s="20" t="s">
        <v>439</v>
      </c>
      <c r="I198" s="20" t="s">
        <v>1025</v>
      </c>
      <c r="J198" s="20" t="s">
        <v>451</v>
      </c>
      <c r="K198" s="21" t="str">
        <f aca="false">IF(OR(G198="",H198="",I198=""),"",G198&amp;H198&amp;I198&amp;J198)</f>
        <v>MPAC452SC</v>
      </c>
      <c r="L198" s="18" t="s">
        <v>1026</v>
      </c>
      <c r="M198" s="18" t="s">
        <v>1027</v>
      </c>
      <c r="N198" s="22" t="s">
        <v>6</v>
      </c>
      <c r="O198" s="17" t="str">
        <f aca="false">IF(K198="","",IF(COUNTIF($K$5:$K$327,K198)&gt;1,"DUPLICADO","Único"))</f>
        <v>Único</v>
      </c>
      <c r="P198" s="18" t="s">
        <v>454</v>
      </c>
      <c r="Q198" s="18"/>
      <c r="R198" s="17"/>
    </row>
    <row r="199" customFormat="false" ht="23.85" hidden="false" customHeight="false" outlineLevel="0" collapsed="false">
      <c r="A199" s="17" t="s">
        <v>434</v>
      </c>
      <c r="B199" s="17" t="s">
        <v>435</v>
      </c>
      <c r="C199" s="17" t="s">
        <v>1028</v>
      </c>
      <c r="D199" s="18" t="s">
        <v>1029</v>
      </c>
      <c r="E199" s="17" t="s">
        <v>65</v>
      </c>
      <c r="F199" s="19" t="n">
        <v>12.122</v>
      </c>
      <c r="G199" s="20" t="s">
        <v>434</v>
      </c>
      <c r="H199" s="20" t="s">
        <v>439</v>
      </c>
      <c r="I199" s="20" t="s">
        <v>1030</v>
      </c>
      <c r="J199" s="20" t="s">
        <v>451</v>
      </c>
      <c r="K199" s="21" t="str">
        <f aca="false">IF(OR(G199="",H199="",I199=""),"",G199&amp;H199&amp;I199&amp;J199)</f>
        <v>MPAC453SC</v>
      </c>
      <c r="L199" s="18" t="s">
        <v>1031</v>
      </c>
      <c r="M199" s="18" t="s">
        <v>1032</v>
      </c>
      <c r="N199" s="22" t="s">
        <v>6</v>
      </c>
      <c r="O199" s="17" t="str">
        <f aca="false">IF(K199="","",IF(COUNTIF($K$5:$K$327,K199)&gt;1,"DUPLICADO","Único"))</f>
        <v>Único</v>
      </c>
      <c r="P199" s="18" t="s">
        <v>454</v>
      </c>
      <c r="Q199" s="18"/>
      <c r="R199" s="17"/>
    </row>
    <row r="200" customFormat="false" ht="23.85" hidden="false" customHeight="false" outlineLevel="0" collapsed="false">
      <c r="A200" s="17" t="s">
        <v>434</v>
      </c>
      <c r="B200" s="17" t="s">
        <v>435</v>
      </c>
      <c r="C200" s="17" t="s">
        <v>1033</v>
      </c>
      <c r="D200" s="18" t="s">
        <v>1034</v>
      </c>
      <c r="E200" s="17" t="s">
        <v>65</v>
      </c>
      <c r="F200" s="19" t="n">
        <v>3.2</v>
      </c>
      <c r="G200" s="20" t="s">
        <v>434</v>
      </c>
      <c r="H200" s="20" t="s">
        <v>439</v>
      </c>
      <c r="I200" s="20" t="s">
        <v>1035</v>
      </c>
      <c r="J200" s="20" t="s">
        <v>451</v>
      </c>
      <c r="K200" s="21" t="str">
        <f aca="false">IF(OR(G200="",H200="",I200=""),"",G200&amp;H200&amp;I200&amp;J200)</f>
        <v>MPAC454SC</v>
      </c>
      <c r="L200" s="18" t="s">
        <v>1036</v>
      </c>
      <c r="M200" s="18" t="s">
        <v>1037</v>
      </c>
      <c r="N200" s="22" t="s">
        <v>6</v>
      </c>
      <c r="O200" s="17" t="str">
        <f aca="false">IF(K200="","",IF(COUNTIF($K$5:$K$327,K200)&gt;1,"DUPLICADO","Único"))</f>
        <v>Único</v>
      </c>
      <c r="P200" s="18" t="s">
        <v>454</v>
      </c>
      <c r="Q200" s="18"/>
      <c r="R200" s="17"/>
    </row>
    <row r="201" customFormat="false" ht="23.85" hidden="false" customHeight="false" outlineLevel="0" collapsed="false">
      <c r="A201" s="17" t="s">
        <v>434</v>
      </c>
      <c r="B201" s="17" t="s">
        <v>435</v>
      </c>
      <c r="C201" s="17" t="s">
        <v>1038</v>
      </c>
      <c r="D201" s="18" t="s">
        <v>1039</v>
      </c>
      <c r="E201" s="17"/>
      <c r="F201" s="19" t="n">
        <v>0</v>
      </c>
      <c r="G201" s="20" t="s">
        <v>434</v>
      </c>
      <c r="H201" s="20" t="s">
        <v>439</v>
      </c>
      <c r="I201" s="20" t="s">
        <v>1040</v>
      </c>
      <c r="J201" s="20" t="s">
        <v>451</v>
      </c>
      <c r="K201" s="21" t="str">
        <f aca="false">IF(OR(G201="",H201="",I201=""),"",G201&amp;H201&amp;I201&amp;J201)</f>
        <v>MPAC455SC</v>
      </c>
      <c r="L201" s="18" t="s">
        <v>1041</v>
      </c>
      <c r="M201" s="18" t="s">
        <v>1042</v>
      </c>
      <c r="N201" s="22" t="s">
        <v>6</v>
      </c>
      <c r="O201" s="17" t="str">
        <f aca="false">IF(K201="","",IF(COUNTIF($K$5:$K$327,K201)&gt;1,"DUPLICADO","Único"))</f>
        <v>Único</v>
      </c>
      <c r="P201" s="18" t="s">
        <v>454</v>
      </c>
      <c r="Q201" s="18"/>
      <c r="R201" s="17"/>
    </row>
    <row r="202" customFormat="false" ht="15" hidden="false" customHeight="false" outlineLevel="0" collapsed="false">
      <c r="A202" s="17" t="s">
        <v>434</v>
      </c>
      <c r="B202" s="17" t="s">
        <v>435</v>
      </c>
      <c r="C202" s="17" t="s">
        <v>1043</v>
      </c>
      <c r="D202" s="18" t="s">
        <v>1044</v>
      </c>
      <c r="E202" s="17" t="s">
        <v>65</v>
      </c>
      <c r="F202" s="19" t="n">
        <v>5.76</v>
      </c>
      <c r="G202" s="20" t="s">
        <v>434</v>
      </c>
      <c r="H202" s="20" t="s">
        <v>450</v>
      </c>
      <c r="I202" s="20" t="s">
        <v>1045</v>
      </c>
      <c r="J202" s="20" t="s">
        <v>451</v>
      </c>
      <c r="K202" s="21" t="str">
        <f aca="false">IF(OR(G202="",H202="",I202=""),"",G202&amp;H202&amp;I202&amp;J202)</f>
        <v>MPBA318SC</v>
      </c>
      <c r="L202" s="18" t="s">
        <v>1046</v>
      </c>
      <c r="M202" s="18" t="s">
        <v>1047</v>
      </c>
      <c r="N202" s="22" t="s">
        <v>6</v>
      </c>
      <c r="O202" s="17" t="str">
        <f aca="false">IF(K202="","",IF(COUNTIF($K$5:$K$327,K202)&gt;1,"DUPLICADO","Único"))</f>
        <v>Único</v>
      </c>
      <c r="P202" s="18" t="s">
        <v>454</v>
      </c>
      <c r="Q202" s="18"/>
      <c r="R202" s="17"/>
    </row>
    <row r="203" customFormat="false" ht="23.85" hidden="false" customHeight="false" outlineLevel="0" collapsed="false">
      <c r="A203" s="17" t="s">
        <v>434</v>
      </c>
      <c r="B203" s="17" t="s">
        <v>435</v>
      </c>
      <c r="C203" s="17" t="s">
        <v>1048</v>
      </c>
      <c r="D203" s="18" t="s">
        <v>1049</v>
      </c>
      <c r="E203" s="17" t="s">
        <v>65</v>
      </c>
      <c r="F203" s="19" t="n">
        <v>0</v>
      </c>
      <c r="G203" s="20" t="s">
        <v>434</v>
      </c>
      <c r="H203" s="20" t="s">
        <v>439</v>
      </c>
      <c r="I203" s="20" t="s">
        <v>1050</v>
      </c>
      <c r="J203" s="20" t="s">
        <v>451</v>
      </c>
      <c r="K203" s="21" t="str">
        <f aca="false">IF(OR(G203="",H203="",I203=""),"",G203&amp;H203&amp;I203&amp;J203)</f>
        <v>MPAC456SC</v>
      </c>
      <c r="L203" s="18" t="s">
        <v>1051</v>
      </c>
      <c r="M203" s="18" t="s">
        <v>1052</v>
      </c>
      <c r="N203" s="22" t="s">
        <v>6</v>
      </c>
      <c r="O203" s="17" t="str">
        <f aca="false">IF(K203="","",IF(COUNTIF($K$5:$K$327,K203)&gt;1,"DUPLICADO","Único"))</f>
        <v>Único</v>
      </c>
      <c r="P203" s="18" t="s">
        <v>454</v>
      </c>
      <c r="Q203" s="18"/>
      <c r="R203" s="17"/>
    </row>
    <row r="204" customFormat="false" ht="23.85" hidden="false" customHeight="false" outlineLevel="0" collapsed="false">
      <c r="A204" s="17" t="s">
        <v>434</v>
      </c>
      <c r="B204" s="17" t="s">
        <v>435</v>
      </c>
      <c r="C204" s="17" t="s">
        <v>1053</v>
      </c>
      <c r="D204" s="18" t="s">
        <v>1054</v>
      </c>
      <c r="E204" s="17" t="s">
        <v>65</v>
      </c>
      <c r="F204" s="19" t="n">
        <v>48</v>
      </c>
      <c r="G204" s="20" t="s">
        <v>434</v>
      </c>
      <c r="H204" s="20" t="s">
        <v>439</v>
      </c>
      <c r="I204" s="20" t="s">
        <v>1055</v>
      </c>
      <c r="J204" s="20" t="s">
        <v>451</v>
      </c>
      <c r="K204" s="21" t="str">
        <f aca="false">IF(OR(G204="",H204="",I204=""),"",G204&amp;H204&amp;I204&amp;J204)</f>
        <v>MPAC457SC</v>
      </c>
      <c r="L204" s="18" t="s">
        <v>1056</v>
      </c>
      <c r="M204" s="18" t="s">
        <v>1057</v>
      </c>
      <c r="N204" s="22" t="s">
        <v>6</v>
      </c>
      <c r="O204" s="17" t="str">
        <f aca="false">IF(K204="","",IF(COUNTIF($K$5:$K$327,K204)&gt;1,"DUPLICADO","Único"))</f>
        <v>Único</v>
      </c>
      <c r="P204" s="18" t="s">
        <v>454</v>
      </c>
      <c r="Q204" s="18"/>
      <c r="R204" s="17"/>
    </row>
    <row r="205" customFormat="false" ht="23.85" hidden="false" customHeight="false" outlineLevel="0" collapsed="false">
      <c r="A205" s="17" t="s">
        <v>434</v>
      </c>
      <c r="B205" s="17" t="s">
        <v>435</v>
      </c>
      <c r="C205" s="17" t="s">
        <v>1058</v>
      </c>
      <c r="D205" s="18" t="s">
        <v>1059</v>
      </c>
      <c r="E205" s="17" t="s">
        <v>65</v>
      </c>
      <c r="F205" s="19" t="n">
        <v>0</v>
      </c>
      <c r="G205" s="20" t="s">
        <v>434</v>
      </c>
      <c r="H205" s="20" t="s">
        <v>467</v>
      </c>
      <c r="I205" s="20" t="s">
        <v>1060</v>
      </c>
      <c r="J205" s="20" t="s">
        <v>451</v>
      </c>
      <c r="K205" s="21" t="str">
        <f aca="false">IF(OR(G205="",H205="",I205=""),"",G205&amp;H205&amp;I205&amp;J205)</f>
        <v>MPAD709SC</v>
      </c>
      <c r="L205" s="18" t="s">
        <v>1061</v>
      </c>
      <c r="M205" s="18" t="s">
        <v>1062</v>
      </c>
      <c r="N205" s="22" t="s">
        <v>6</v>
      </c>
      <c r="O205" s="17" t="str">
        <f aca="false">IF(K205="","",IF(COUNTIF($K$5:$K$327,K205)&gt;1,"DUPLICADO","Único"))</f>
        <v>Único</v>
      </c>
      <c r="P205" s="18" t="s">
        <v>471</v>
      </c>
      <c r="Q205" s="18"/>
      <c r="R205" s="17"/>
    </row>
    <row r="206" customFormat="false" ht="23.85" hidden="false" customHeight="false" outlineLevel="0" collapsed="false">
      <c r="A206" s="17" t="s">
        <v>434</v>
      </c>
      <c r="B206" s="17" t="s">
        <v>435</v>
      </c>
      <c r="C206" s="17" t="s">
        <v>1063</v>
      </c>
      <c r="D206" s="18" t="s">
        <v>1064</v>
      </c>
      <c r="E206" s="17" t="s">
        <v>65</v>
      </c>
      <c r="F206" s="19" t="n">
        <v>0</v>
      </c>
      <c r="G206" s="20" t="s">
        <v>434</v>
      </c>
      <c r="H206" s="20" t="s">
        <v>467</v>
      </c>
      <c r="I206" s="20" t="s">
        <v>1065</v>
      </c>
      <c r="J206" s="20" t="s">
        <v>445</v>
      </c>
      <c r="K206" s="21" t="str">
        <f aca="false">IF(OR(G206="",H206="",I206=""),"",G206&amp;H206&amp;I206&amp;J206)</f>
        <v>MPAD710CG</v>
      </c>
      <c r="L206" s="18" t="s">
        <v>1066</v>
      </c>
      <c r="M206" s="18" t="s">
        <v>1067</v>
      </c>
      <c r="N206" s="22" t="s">
        <v>6</v>
      </c>
      <c r="O206" s="17" t="str">
        <f aca="false">IF(K206="","",IF(COUNTIF($K$5:$K$327,K206)&gt;1,"DUPLICADO","Único"))</f>
        <v>Único</v>
      </c>
      <c r="P206" s="18" t="s">
        <v>471</v>
      </c>
      <c r="Q206" s="18"/>
      <c r="R206" s="17"/>
    </row>
    <row r="207" customFormat="false" ht="23.85" hidden="false" customHeight="false" outlineLevel="0" collapsed="false">
      <c r="A207" s="17" t="s">
        <v>434</v>
      </c>
      <c r="B207" s="17" t="s">
        <v>435</v>
      </c>
      <c r="C207" s="17" t="s">
        <v>1068</v>
      </c>
      <c r="D207" s="18" t="s">
        <v>1069</v>
      </c>
      <c r="E207" s="17" t="s">
        <v>65</v>
      </c>
      <c r="F207" s="19" t="n">
        <v>9</v>
      </c>
      <c r="G207" s="20" t="s">
        <v>434</v>
      </c>
      <c r="H207" s="20" t="s">
        <v>529</v>
      </c>
      <c r="I207" s="20" t="s">
        <v>1070</v>
      </c>
      <c r="J207" s="20" t="s">
        <v>531</v>
      </c>
      <c r="K207" s="21" t="str">
        <f aca="false">IF(OR(G207="",H207="",I207=""),"",G207&amp;H207&amp;I207&amp;J207)</f>
        <v>MPOV502RF</v>
      </c>
      <c r="L207" s="18" t="s">
        <v>1071</v>
      </c>
      <c r="M207" s="18" t="s">
        <v>1072</v>
      </c>
      <c r="N207" s="22" t="s">
        <v>6</v>
      </c>
      <c r="O207" s="17" t="str">
        <f aca="false">IF(K207="","",IF(COUNTIF($K$5:$K$327,K207)&gt;1,"DUPLICADO","Único"))</f>
        <v>Único</v>
      </c>
      <c r="P207" s="18" t="s">
        <v>471</v>
      </c>
      <c r="Q207" s="18"/>
      <c r="R207" s="17"/>
    </row>
    <row r="208" customFormat="false" ht="23.85" hidden="false" customHeight="false" outlineLevel="0" collapsed="false">
      <c r="A208" s="17" t="s">
        <v>434</v>
      </c>
      <c r="B208" s="17" t="s">
        <v>435</v>
      </c>
      <c r="C208" s="17" t="s">
        <v>1073</v>
      </c>
      <c r="D208" s="18" t="s">
        <v>1074</v>
      </c>
      <c r="E208" s="17" t="s">
        <v>65</v>
      </c>
      <c r="F208" s="19" t="n">
        <v>0</v>
      </c>
      <c r="G208" s="20" t="s">
        <v>434</v>
      </c>
      <c r="H208" s="20" t="s">
        <v>438</v>
      </c>
      <c r="I208" s="20" t="s">
        <v>1075</v>
      </c>
      <c r="J208" s="20" t="s">
        <v>439</v>
      </c>
      <c r="K208" s="21" t="str">
        <f aca="false">IF(OR(G208="",H208="",I208=""),"",G208&amp;H208&amp;I208&amp;J208)</f>
        <v>MPFR237AC</v>
      </c>
      <c r="L208" s="18" t="s">
        <v>1076</v>
      </c>
      <c r="M208" s="18" t="s">
        <v>1077</v>
      </c>
      <c r="N208" s="24" t="s">
        <v>5</v>
      </c>
      <c r="O208" s="17" t="str">
        <f aca="false">IF(K208="","",IF(COUNTIF($K$5:$K$327,K208)&gt;1,"DUPLICADO","Único"))</f>
        <v>Único</v>
      </c>
      <c r="P208" s="18" t="s">
        <v>442</v>
      </c>
      <c r="Q208" s="18"/>
      <c r="R208" s="17"/>
    </row>
    <row r="209" customFormat="false" ht="23.85" hidden="false" customHeight="false" outlineLevel="0" collapsed="false">
      <c r="A209" s="17" t="s">
        <v>434</v>
      </c>
      <c r="B209" s="17" t="s">
        <v>435</v>
      </c>
      <c r="C209" s="17" t="s">
        <v>1078</v>
      </c>
      <c r="D209" s="18" t="s">
        <v>1079</v>
      </c>
      <c r="E209" s="17" t="s">
        <v>568</v>
      </c>
      <c r="F209" s="19" t="n">
        <v>0</v>
      </c>
      <c r="G209" s="20" t="s">
        <v>434</v>
      </c>
      <c r="H209" s="20" t="s">
        <v>563</v>
      </c>
      <c r="I209" s="20" t="s">
        <v>86</v>
      </c>
      <c r="J209" s="20" t="s">
        <v>451</v>
      </c>
      <c r="K209" s="21" t="str">
        <f aca="false">IF(OR(G209="",H209="",I209=""),"",G209&amp;H209&amp;I209&amp;J209)</f>
        <v>MPLT110SC</v>
      </c>
      <c r="L209" s="18" t="s">
        <v>1080</v>
      </c>
      <c r="M209" s="18" t="s">
        <v>1081</v>
      </c>
      <c r="N209" s="22" t="s">
        <v>6</v>
      </c>
      <c r="O209" s="17" t="str">
        <f aca="false">IF(K209="","",IF(COUNTIF($K$5:$K$327,K209)&gt;1,"DUPLICADO","Único"))</f>
        <v>Único</v>
      </c>
      <c r="P209" s="18" t="s">
        <v>454</v>
      </c>
      <c r="Q209" s="18"/>
      <c r="R209" s="17"/>
    </row>
    <row r="210" customFormat="false" ht="23.85" hidden="false" customHeight="false" outlineLevel="0" collapsed="false">
      <c r="A210" s="17" t="s">
        <v>434</v>
      </c>
      <c r="B210" s="17" t="s">
        <v>435</v>
      </c>
      <c r="C210" s="17" t="s">
        <v>1082</v>
      </c>
      <c r="D210" s="18" t="s">
        <v>1083</v>
      </c>
      <c r="E210" s="17" t="s">
        <v>568</v>
      </c>
      <c r="F210" s="19" t="n">
        <v>0</v>
      </c>
      <c r="G210" s="20" t="s">
        <v>434</v>
      </c>
      <c r="H210" s="20" t="s">
        <v>563</v>
      </c>
      <c r="I210" s="20" t="s">
        <v>91</v>
      </c>
      <c r="J210" s="20" t="s">
        <v>451</v>
      </c>
      <c r="K210" s="21" t="str">
        <f aca="false">IF(OR(G210="",H210="",I210=""),"",G210&amp;H210&amp;I210&amp;J210)</f>
        <v>MPLT111SC</v>
      </c>
      <c r="L210" s="18" t="s">
        <v>1084</v>
      </c>
      <c r="M210" s="18" t="s">
        <v>1085</v>
      </c>
      <c r="N210" s="22" t="s">
        <v>6</v>
      </c>
      <c r="O210" s="17" t="str">
        <f aca="false">IF(K210="","",IF(COUNTIF($K$5:$K$327,K210)&gt;1,"DUPLICADO","Único"))</f>
        <v>Único</v>
      </c>
      <c r="P210" s="18" t="s">
        <v>454</v>
      </c>
      <c r="Q210" s="18"/>
      <c r="R210" s="17"/>
    </row>
    <row r="211" customFormat="false" ht="23.85" hidden="false" customHeight="false" outlineLevel="0" collapsed="false">
      <c r="A211" s="17" t="s">
        <v>434</v>
      </c>
      <c r="B211" s="17" t="s">
        <v>435</v>
      </c>
      <c r="C211" s="17" t="s">
        <v>1086</v>
      </c>
      <c r="D211" s="18" t="s">
        <v>1087</v>
      </c>
      <c r="E211" s="17" t="s">
        <v>568</v>
      </c>
      <c r="F211" s="19" t="n">
        <v>0</v>
      </c>
      <c r="G211" s="20" t="s">
        <v>434</v>
      </c>
      <c r="H211" s="20" t="s">
        <v>438</v>
      </c>
      <c r="I211" s="20" t="s">
        <v>687</v>
      </c>
      <c r="J211" s="20" t="s">
        <v>531</v>
      </c>
      <c r="K211" s="21" t="str">
        <f aca="false">IF(OR(G211="",H211="",I211=""),"",G211&amp;H211&amp;I211&amp;J211)</f>
        <v>MPFR238RF</v>
      </c>
      <c r="L211" s="18" t="s">
        <v>1088</v>
      </c>
      <c r="M211" s="18" t="s">
        <v>1089</v>
      </c>
      <c r="N211" s="24" t="s">
        <v>5</v>
      </c>
      <c r="O211" s="17" t="str">
        <f aca="false">IF(K211="","",IF(COUNTIF($K$5:$K$327,K211)&gt;1,"DUPLICADO","Único"))</f>
        <v>Único</v>
      </c>
      <c r="P211" s="18" t="s">
        <v>442</v>
      </c>
      <c r="Q211" s="18"/>
      <c r="R211" s="17"/>
    </row>
    <row r="212" customFormat="false" ht="15" hidden="false" customHeight="false" outlineLevel="0" collapsed="false">
      <c r="A212" s="17" t="s">
        <v>434</v>
      </c>
      <c r="B212" s="17" t="s">
        <v>435</v>
      </c>
      <c r="C212" s="17" t="s">
        <v>1090</v>
      </c>
      <c r="D212" s="18" t="s">
        <v>1091</v>
      </c>
      <c r="E212" s="17" t="s">
        <v>65</v>
      </c>
      <c r="F212" s="19" t="n">
        <v>0</v>
      </c>
      <c r="G212" s="20" t="s">
        <v>434</v>
      </c>
      <c r="H212" s="20" t="s">
        <v>450</v>
      </c>
      <c r="I212" s="20" t="s">
        <v>1092</v>
      </c>
      <c r="J212" s="20" t="s">
        <v>451</v>
      </c>
      <c r="K212" s="21" t="str">
        <f aca="false">IF(OR(G212="",H212="",I212=""),"",G212&amp;H212&amp;I212&amp;J212)</f>
        <v>MPBA319SC</v>
      </c>
      <c r="L212" s="18" t="s">
        <v>1093</v>
      </c>
      <c r="M212" s="18" t="s">
        <v>1094</v>
      </c>
      <c r="N212" s="22" t="s">
        <v>6</v>
      </c>
      <c r="O212" s="17" t="str">
        <f aca="false">IF(K212="","",IF(COUNTIF($K$5:$K$327,K212)&gt;1,"DUPLICADO","Único"))</f>
        <v>Único</v>
      </c>
      <c r="P212" s="18" t="s">
        <v>454</v>
      </c>
      <c r="Q212" s="18"/>
      <c r="R212" s="17"/>
    </row>
    <row r="213" customFormat="false" ht="23.85" hidden="false" customHeight="false" outlineLevel="0" collapsed="false">
      <c r="A213" s="17" t="s">
        <v>434</v>
      </c>
      <c r="B213" s="17" t="s">
        <v>435</v>
      </c>
      <c r="C213" s="17" t="s">
        <v>1095</v>
      </c>
      <c r="D213" s="18" t="s">
        <v>1096</v>
      </c>
      <c r="E213" s="17" t="s">
        <v>65</v>
      </c>
      <c r="F213" s="19" t="n">
        <v>0</v>
      </c>
      <c r="G213" s="20" t="s">
        <v>434</v>
      </c>
      <c r="H213" s="20" t="s">
        <v>439</v>
      </c>
      <c r="I213" s="20" t="s">
        <v>1097</v>
      </c>
      <c r="J213" s="20" t="s">
        <v>451</v>
      </c>
      <c r="K213" s="21" t="str">
        <f aca="false">IF(OR(G213="",H213="",I213=""),"",G213&amp;H213&amp;I213&amp;J213)</f>
        <v>MPAC458SC</v>
      </c>
      <c r="L213" s="18" t="s">
        <v>1098</v>
      </c>
      <c r="M213" s="18" t="s">
        <v>1099</v>
      </c>
      <c r="N213" s="22" t="s">
        <v>6</v>
      </c>
      <c r="O213" s="17" t="str">
        <f aca="false">IF(K213="","",IF(COUNTIF($K$5:$K$327,K213)&gt;1,"DUPLICADO","Único"))</f>
        <v>Único</v>
      </c>
      <c r="P213" s="18" t="s">
        <v>454</v>
      </c>
      <c r="Q213" s="18"/>
      <c r="R213" s="17"/>
    </row>
    <row r="214" customFormat="false" ht="23.85" hidden="false" customHeight="false" outlineLevel="0" collapsed="false">
      <c r="A214" s="17" t="s">
        <v>434</v>
      </c>
      <c r="B214" s="17" t="s">
        <v>435</v>
      </c>
      <c r="C214" s="17" t="s">
        <v>1100</v>
      </c>
      <c r="D214" s="18" t="s">
        <v>1101</v>
      </c>
      <c r="E214" s="17" t="s">
        <v>65</v>
      </c>
      <c r="F214" s="19" t="n">
        <v>0</v>
      </c>
      <c r="G214" s="20" t="s">
        <v>434</v>
      </c>
      <c r="H214" s="20" t="s">
        <v>529</v>
      </c>
      <c r="I214" s="20" t="s">
        <v>1102</v>
      </c>
      <c r="J214" s="20" t="s">
        <v>531</v>
      </c>
      <c r="K214" s="21" t="str">
        <f aca="false">IF(OR(G214="",H214="",I214=""),"",G214&amp;H214&amp;I214&amp;J214)</f>
        <v>MPOV503RF</v>
      </c>
      <c r="L214" s="18" t="s">
        <v>1103</v>
      </c>
      <c r="M214" s="18" t="s">
        <v>1104</v>
      </c>
      <c r="N214" s="22" t="s">
        <v>6</v>
      </c>
      <c r="O214" s="17" t="str">
        <f aca="false">IF(K214="","",IF(COUNTIF($K$5:$K$327,K214)&gt;1,"DUPLICADO","Único"))</f>
        <v>Único</v>
      </c>
      <c r="P214" s="18" t="s">
        <v>471</v>
      </c>
      <c r="Q214" s="18"/>
      <c r="R214" s="17"/>
    </row>
    <row r="215" customFormat="false" ht="23.85" hidden="false" customHeight="false" outlineLevel="0" collapsed="false">
      <c r="A215" s="17" t="s">
        <v>434</v>
      </c>
      <c r="B215" s="17" t="s">
        <v>435</v>
      </c>
      <c r="C215" s="17" t="s">
        <v>1105</v>
      </c>
      <c r="D215" s="18" t="s">
        <v>1106</v>
      </c>
      <c r="E215" s="17" t="s">
        <v>65</v>
      </c>
      <c r="F215" s="19" t="n">
        <v>4.5</v>
      </c>
      <c r="G215" s="20" t="s">
        <v>434</v>
      </c>
      <c r="H215" s="20" t="s">
        <v>439</v>
      </c>
      <c r="I215" s="20" t="s">
        <v>1107</v>
      </c>
      <c r="J215" s="20" t="s">
        <v>451</v>
      </c>
      <c r="K215" s="21" t="str">
        <f aca="false">IF(OR(G215="",H215="",I215=""),"",G215&amp;H215&amp;I215&amp;J215)</f>
        <v>MPAC459SC</v>
      </c>
      <c r="L215" s="18" t="s">
        <v>1108</v>
      </c>
      <c r="M215" s="18" t="s">
        <v>1109</v>
      </c>
      <c r="N215" s="22" t="s">
        <v>6</v>
      </c>
      <c r="O215" s="17" t="str">
        <f aca="false">IF(K215="","",IF(COUNTIF($K$5:$K$327,K215)&gt;1,"DUPLICADO","Único"))</f>
        <v>Único</v>
      </c>
      <c r="P215" s="18" t="s">
        <v>454</v>
      </c>
      <c r="Q215" s="18"/>
      <c r="R215" s="17"/>
    </row>
    <row r="216" customFormat="false" ht="15" hidden="false" customHeight="false" outlineLevel="0" collapsed="false">
      <c r="A216" s="17" t="s">
        <v>434</v>
      </c>
      <c r="B216" s="17" t="s">
        <v>435</v>
      </c>
      <c r="C216" s="17" t="s">
        <v>1110</v>
      </c>
      <c r="D216" s="18" t="s">
        <v>1111</v>
      </c>
      <c r="E216" s="17" t="s">
        <v>65</v>
      </c>
      <c r="F216" s="19" t="n">
        <v>0</v>
      </c>
      <c r="G216" s="20" t="s">
        <v>434</v>
      </c>
      <c r="H216" s="20" t="s">
        <v>439</v>
      </c>
      <c r="I216" s="20" t="s">
        <v>1112</v>
      </c>
      <c r="J216" s="20" t="s">
        <v>451</v>
      </c>
      <c r="K216" s="21" t="str">
        <f aca="false">IF(OR(G216="",H216="",I216=""),"",G216&amp;H216&amp;I216&amp;J216)</f>
        <v>MPAC460SC</v>
      </c>
      <c r="L216" s="18" t="s">
        <v>1113</v>
      </c>
      <c r="M216" s="18" t="s">
        <v>1114</v>
      </c>
      <c r="N216" s="22" t="s">
        <v>6</v>
      </c>
      <c r="O216" s="17" t="str">
        <f aca="false">IF(K216="","",IF(COUNTIF($K$5:$K$327,K216)&gt;1,"DUPLICADO","Único"))</f>
        <v>Único</v>
      </c>
      <c r="P216" s="18" t="s">
        <v>454</v>
      </c>
      <c r="Q216" s="18"/>
      <c r="R216" s="17"/>
    </row>
    <row r="217" customFormat="false" ht="23.85" hidden="false" customHeight="false" outlineLevel="0" collapsed="false">
      <c r="A217" s="17" t="s">
        <v>434</v>
      </c>
      <c r="B217" s="17" t="s">
        <v>435</v>
      </c>
      <c r="C217" s="17" t="s">
        <v>1115</v>
      </c>
      <c r="D217" s="18" t="s">
        <v>1116</v>
      </c>
      <c r="E217" s="17" t="s">
        <v>65</v>
      </c>
      <c r="F217" s="19" t="n">
        <v>0</v>
      </c>
      <c r="G217" s="20" t="s">
        <v>434</v>
      </c>
      <c r="H217" s="20" t="s">
        <v>563</v>
      </c>
      <c r="I217" s="20" t="s">
        <v>391</v>
      </c>
      <c r="J217" s="20" t="s">
        <v>531</v>
      </c>
      <c r="K217" s="21" t="str">
        <f aca="false">IF(OR(G217="",H217="",I217=""),"",G217&amp;H217&amp;I217&amp;J217)</f>
        <v>MPLT112RF</v>
      </c>
      <c r="L217" s="18" t="s">
        <v>1117</v>
      </c>
      <c r="M217" s="18" t="s">
        <v>1118</v>
      </c>
      <c r="N217" s="22" t="s">
        <v>6</v>
      </c>
      <c r="O217" s="17" t="str">
        <f aca="false">IF(K217="","",IF(COUNTIF($K$5:$K$327,K217)&gt;1,"DUPLICADO","Único"))</f>
        <v>Único</v>
      </c>
      <c r="P217" s="18" t="s">
        <v>454</v>
      </c>
      <c r="Q217" s="18"/>
      <c r="R217" s="17"/>
    </row>
    <row r="218" customFormat="false" ht="23.85" hidden="false" customHeight="false" outlineLevel="0" collapsed="false">
      <c r="A218" s="17" t="s">
        <v>434</v>
      </c>
      <c r="B218" s="17" t="s">
        <v>435</v>
      </c>
      <c r="C218" s="17" t="s">
        <v>1119</v>
      </c>
      <c r="D218" s="18" t="s">
        <v>1120</v>
      </c>
      <c r="E218" s="17" t="s">
        <v>65</v>
      </c>
      <c r="F218" s="19" t="n">
        <v>0</v>
      </c>
      <c r="G218" s="20" t="s">
        <v>434</v>
      </c>
      <c r="H218" s="20" t="s">
        <v>467</v>
      </c>
      <c r="I218" s="20" t="s">
        <v>1121</v>
      </c>
      <c r="J218" s="20" t="s">
        <v>451</v>
      </c>
      <c r="K218" s="21" t="str">
        <f aca="false">IF(OR(G218="",H218="",I218=""),"",G218&amp;H218&amp;I218&amp;J218)</f>
        <v>MPAD711SC</v>
      </c>
      <c r="L218" s="18" t="s">
        <v>1122</v>
      </c>
      <c r="M218" s="18" t="s">
        <v>1123</v>
      </c>
      <c r="N218" s="22" t="s">
        <v>6</v>
      </c>
      <c r="O218" s="17" t="str">
        <f aca="false">IF(K218="","",IF(COUNTIF($K$5:$K$327,K218)&gt;1,"DUPLICADO","Único"))</f>
        <v>Único</v>
      </c>
      <c r="P218" s="18" t="s">
        <v>471</v>
      </c>
      <c r="Q218" s="18"/>
      <c r="R218" s="17"/>
    </row>
    <row r="219" customFormat="false" ht="23.85" hidden="false" customHeight="false" outlineLevel="0" collapsed="false">
      <c r="A219" s="17" t="s">
        <v>434</v>
      </c>
      <c r="B219" s="17" t="s">
        <v>435</v>
      </c>
      <c r="C219" s="17" t="s">
        <v>1124</v>
      </c>
      <c r="D219" s="18" t="s">
        <v>1125</v>
      </c>
      <c r="E219" s="17" t="s">
        <v>65</v>
      </c>
      <c r="F219" s="19" t="n">
        <v>0</v>
      </c>
      <c r="G219" s="20" t="s">
        <v>434</v>
      </c>
      <c r="H219" s="20" t="s">
        <v>616</v>
      </c>
      <c r="I219" s="20" t="s">
        <v>1126</v>
      </c>
      <c r="J219" s="20" t="s">
        <v>451</v>
      </c>
      <c r="K219" s="21" t="str">
        <f aca="false">IF(OR(G219="",H219="",I219=""),"",G219&amp;H219&amp;I219&amp;J219)</f>
        <v>MPCE802SC</v>
      </c>
      <c r="L219" s="18" t="s">
        <v>1127</v>
      </c>
      <c r="M219" s="18" t="s">
        <v>1128</v>
      </c>
      <c r="N219" s="22" t="s">
        <v>6</v>
      </c>
      <c r="O219" s="17" t="str">
        <f aca="false">IF(K219="","",IF(COUNTIF($K$5:$K$327,K219)&gt;1,"DUPLICADO","Único"))</f>
        <v>Único</v>
      </c>
      <c r="P219" s="18" t="s">
        <v>471</v>
      </c>
      <c r="Q219" s="18"/>
      <c r="R219" s="17"/>
    </row>
    <row r="220" customFormat="false" ht="23.85" hidden="false" customHeight="false" outlineLevel="0" collapsed="false">
      <c r="A220" s="17" t="s">
        <v>434</v>
      </c>
      <c r="B220" s="17" t="s">
        <v>435</v>
      </c>
      <c r="C220" s="17" t="s">
        <v>1129</v>
      </c>
      <c r="D220" s="18" t="s">
        <v>1130</v>
      </c>
      <c r="E220" s="17" t="s">
        <v>65</v>
      </c>
      <c r="F220" s="19" t="n">
        <v>3.5</v>
      </c>
      <c r="G220" s="20" t="s">
        <v>434</v>
      </c>
      <c r="H220" s="20" t="s">
        <v>439</v>
      </c>
      <c r="I220" s="20" t="s">
        <v>1131</v>
      </c>
      <c r="J220" s="20" t="s">
        <v>451</v>
      </c>
      <c r="K220" s="21" t="str">
        <f aca="false">IF(OR(G220="",H220="",I220=""),"",G220&amp;H220&amp;I220&amp;J220)</f>
        <v>MPAC461SC</v>
      </c>
      <c r="L220" s="18" t="s">
        <v>1132</v>
      </c>
      <c r="M220" s="18" t="s">
        <v>1133</v>
      </c>
      <c r="N220" s="22" t="s">
        <v>6</v>
      </c>
      <c r="O220" s="17" t="str">
        <f aca="false">IF(K220="","",IF(COUNTIF($K$5:$K$327,K220)&gt;1,"DUPLICADO","Único"))</f>
        <v>Único</v>
      </c>
      <c r="P220" s="18" t="s">
        <v>454</v>
      </c>
      <c r="Q220" s="18"/>
      <c r="R220" s="17"/>
    </row>
    <row r="221" customFormat="false" ht="23.85" hidden="false" customHeight="false" outlineLevel="0" collapsed="false">
      <c r="A221" s="17" t="s">
        <v>434</v>
      </c>
      <c r="B221" s="17" t="s">
        <v>435</v>
      </c>
      <c r="C221" s="17" t="s">
        <v>1134</v>
      </c>
      <c r="D221" s="18" t="s">
        <v>1135</v>
      </c>
      <c r="E221" s="17" t="s">
        <v>65</v>
      </c>
      <c r="F221" s="19" t="n">
        <v>7</v>
      </c>
      <c r="G221" s="20" t="s">
        <v>434</v>
      </c>
      <c r="H221" s="20" t="s">
        <v>439</v>
      </c>
      <c r="I221" s="20" t="s">
        <v>1136</v>
      </c>
      <c r="J221" s="20" t="s">
        <v>451</v>
      </c>
      <c r="K221" s="21" t="str">
        <f aca="false">IF(OR(G221="",H221="",I221=""),"",G221&amp;H221&amp;I221&amp;J221)</f>
        <v>MPAC462SC</v>
      </c>
      <c r="L221" s="18" t="s">
        <v>1137</v>
      </c>
      <c r="M221" s="18" t="s">
        <v>1138</v>
      </c>
      <c r="N221" s="22" t="s">
        <v>6</v>
      </c>
      <c r="O221" s="17" t="str">
        <f aca="false">IF(K221="","",IF(COUNTIF($K$5:$K$327,K221)&gt;1,"DUPLICADO","Único"))</f>
        <v>Único</v>
      </c>
      <c r="P221" s="18" t="s">
        <v>454</v>
      </c>
      <c r="Q221" s="18"/>
      <c r="R221" s="17"/>
    </row>
    <row r="222" customFormat="false" ht="23.85" hidden="false" customHeight="false" outlineLevel="0" collapsed="false">
      <c r="A222" s="17" t="s">
        <v>434</v>
      </c>
      <c r="B222" s="17" t="s">
        <v>435</v>
      </c>
      <c r="C222" s="17" t="s">
        <v>1139</v>
      </c>
      <c r="D222" s="18" t="s">
        <v>1140</v>
      </c>
      <c r="E222" s="17" t="s">
        <v>65</v>
      </c>
      <c r="F222" s="19" t="n">
        <v>3.5</v>
      </c>
      <c r="G222" s="20" t="s">
        <v>434</v>
      </c>
      <c r="H222" s="20" t="s">
        <v>439</v>
      </c>
      <c r="I222" s="20" t="s">
        <v>1141</v>
      </c>
      <c r="J222" s="20" t="s">
        <v>451</v>
      </c>
      <c r="K222" s="21" t="str">
        <f aca="false">IF(OR(G222="",H222="",I222=""),"",G222&amp;H222&amp;I222&amp;J222)</f>
        <v>MPAC463SC</v>
      </c>
      <c r="L222" s="18" t="s">
        <v>1142</v>
      </c>
      <c r="M222" s="18" t="s">
        <v>1143</v>
      </c>
      <c r="N222" s="22" t="s">
        <v>6</v>
      </c>
      <c r="O222" s="17" t="str">
        <f aca="false">IF(K222="","",IF(COUNTIF($K$5:$K$327,K222)&gt;1,"DUPLICADO","Único"))</f>
        <v>Único</v>
      </c>
      <c r="P222" s="18" t="s">
        <v>454</v>
      </c>
      <c r="Q222" s="18"/>
      <c r="R222" s="17"/>
    </row>
    <row r="223" customFormat="false" ht="23.85" hidden="false" customHeight="false" outlineLevel="0" collapsed="false">
      <c r="A223" s="17" t="s">
        <v>434</v>
      </c>
      <c r="B223" s="17" t="s">
        <v>435</v>
      </c>
      <c r="C223" s="17" t="s">
        <v>1144</v>
      </c>
      <c r="D223" s="18" t="s">
        <v>1145</v>
      </c>
      <c r="E223" s="17" t="s">
        <v>65</v>
      </c>
      <c r="F223" s="19" t="n">
        <v>4.5</v>
      </c>
      <c r="G223" s="20" t="s">
        <v>434</v>
      </c>
      <c r="H223" s="20" t="s">
        <v>439</v>
      </c>
      <c r="I223" s="20" t="s">
        <v>1146</v>
      </c>
      <c r="J223" s="20" t="s">
        <v>451</v>
      </c>
      <c r="K223" s="21" t="str">
        <f aca="false">IF(OR(G223="",H223="",I223=""),"",G223&amp;H223&amp;I223&amp;J223)</f>
        <v>MPAC464SC</v>
      </c>
      <c r="L223" s="18" t="s">
        <v>1147</v>
      </c>
      <c r="M223" s="18" t="s">
        <v>1148</v>
      </c>
      <c r="N223" s="22" t="s">
        <v>6</v>
      </c>
      <c r="O223" s="17" t="str">
        <f aca="false">IF(K223="","",IF(COUNTIF($K$5:$K$327,K223)&gt;1,"DUPLICADO","Único"))</f>
        <v>Único</v>
      </c>
      <c r="P223" s="18" t="s">
        <v>454</v>
      </c>
      <c r="Q223" s="18"/>
      <c r="R223" s="17"/>
    </row>
    <row r="224" customFormat="false" ht="23.85" hidden="false" customHeight="false" outlineLevel="0" collapsed="false">
      <c r="A224" s="17" t="s">
        <v>434</v>
      </c>
      <c r="B224" s="17" t="s">
        <v>435</v>
      </c>
      <c r="C224" s="17" t="s">
        <v>1149</v>
      </c>
      <c r="D224" s="18" t="s">
        <v>1150</v>
      </c>
      <c r="E224" s="17" t="s">
        <v>65</v>
      </c>
      <c r="F224" s="19" t="n">
        <v>3.5</v>
      </c>
      <c r="G224" s="20" t="s">
        <v>434</v>
      </c>
      <c r="H224" s="20" t="s">
        <v>439</v>
      </c>
      <c r="I224" s="20" t="s">
        <v>1151</v>
      </c>
      <c r="J224" s="20" t="s">
        <v>451</v>
      </c>
      <c r="K224" s="21" t="str">
        <f aca="false">IF(OR(G224="",H224="",I224=""),"",G224&amp;H224&amp;I224&amp;J224)</f>
        <v>MPAC465SC</v>
      </c>
      <c r="L224" s="18" t="s">
        <v>1152</v>
      </c>
      <c r="M224" s="18" t="s">
        <v>1153</v>
      </c>
      <c r="N224" s="22" t="s">
        <v>6</v>
      </c>
      <c r="O224" s="17" t="str">
        <f aca="false">IF(K224="","",IF(COUNTIF($K$5:$K$327,K224)&gt;1,"DUPLICADO","Único"))</f>
        <v>Único</v>
      </c>
      <c r="P224" s="18" t="s">
        <v>454</v>
      </c>
      <c r="Q224" s="18"/>
      <c r="R224" s="17"/>
    </row>
    <row r="225" customFormat="false" ht="23.85" hidden="false" customHeight="false" outlineLevel="0" collapsed="false">
      <c r="A225" s="17" t="s">
        <v>434</v>
      </c>
      <c r="B225" s="17" t="s">
        <v>435</v>
      </c>
      <c r="C225" s="17" t="s">
        <v>1154</v>
      </c>
      <c r="D225" s="18" t="s">
        <v>1155</v>
      </c>
      <c r="E225" s="17" t="s">
        <v>65</v>
      </c>
      <c r="F225" s="19" t="n">
        <v>175</v>
      </c>
      <c r="G225" s="20" t="s">
        <v>434</v>
      </c>
      <c r="H225" s="20" t="s">
        <v>450</v>
      </c>
      <c r="I225" s="20" t="s">
        <v>1156</v>
      </c>
      <c r="J225" s="20" t="s">
        <v>451</v>
      </c>
      <c r="K225" s="21" t="str">
        <f aca="false">IF(OR(G225="",H225="",I225=""),"",G225&amp;H225&amp;I225&amp;J225)</f>
        <v>MPBA320SC</v>
      </c>
      <c r="L225" s="18" t="s">
        <v>1157</v>
      </c>
      <c r="M225" s="18" t="s">
        <v>1158</v>
      </c>
      <c r="N225" s="22" t="s">
        <v>6</v>
      </c>
      <c r="O225" s="17" t="str">
        <f aca="false">IF(K225="","",IF(COUNTIF($K$5:$K$327,K225)&gt;1,"DUPLICADO","Único"))</f>
        <v>Único</v>
      </c>
      <c r="P225" s="18" t="s">
        <v>454</v>
      </c>
      <c r="Q225" s="18"/>
      <c r="R225" s="17"/>
    </row>
    <row r="226" customFormat="false" ht="23.85" hidden="false" customHeight="false" outlineLevel="0" collapsed="false">
      <c r="A226" s="17" t="s">
        <v>434</v>
      </c>
      <c r="B226" s="17" t="s">
        <v>435</v>
      </c>
      <c r="C226" s="17" t="s">
        <v>1159</v>
      </c>
      <c r="D226" s="18" t="s">
        <v>1160</v>
      </c>
      <c r="E226" s="17" t="s">
        <v>65</v>
      </c>
      <c r="F226" s="19" t="n">
        <v>9</v>
      </c>
      <c r="G226" s="20" t="s">
        <v>434</v>
      </c>
      <c r="H226" s="20" t="s">
        <v>467</v>
      </c>
      <c r="I226" s="20" t="s">
        <v>1161</v>
      </c>
      <c r="J226" s="20" t="s">
        <v>451</v>
      </c>
      <c r="K226" s="21" t="str">
        <f aca="false">IF(OR(G226="",H226="",I226=""),"",G226&amp;H226&amp;I226&amp;J226)</f>
        <v>MPAD712SC</v>
      </c>
      <c r="L226" s="18" t="s">
        <v>1162</v>
      </c>
      <c r="M226" s="18" t="s">
        <v>1163</v>
      </c>
      <c r="N226" s="22" t="s">
        <v>6</v>
      </c>
      <c r="O226" s="17" t="str">
        <f aca="false">IF(K226="","",IF(COUNTIF($K$5:$K$327,K226)&gt;1,"DUPLICADO","Único"))</f>
        <v>Único</v>
      </c>
      <c r="P226" s="18" t="s">
        <v>471</v>
      </c>
      <c r="Q226" s="18"/>
      <c r="R226" s="17"/>
    </row>
    <row r="227" customFormat="false" ht="23.85" hidden="false" customHeight="false" outlineLevel="0" collapsed="false">
      <c r="A227" s="17" t="s">
        <v>434</v>
      </c>
      <c r="B227" s="17" t="s">
        <v>435</v>
      </c>
      <c r="C227" s="17" t="s">
        <v>1164</v>
      </c>
      <c r="D227" s="18" t="s">
        <v>1165</v>
      </c>
      <c r="E227" s="17" t="s">
        <v>568</v>
      </c>
      <c r="F227" s="19" t="n">
        <v>0</v>
      </c>
      <c r="G227" s="20" t="s">
        <v>434</v>
      </c>
      <c r="H227" s="20" t="s">
        <v>563</v>
      </c>
      <c r="I227" s="20" t="s">
        <v>167</v>
      </c>
      <c r="J227" s="20" t="s">
        <v>531</v>
      </c>
      <c r="K227" s="21" t="str">
        <f aca="false">IF(OR(G227="",H227="",I227=""),"",G227&amp;H227&amp;I227&amp;J227)</f>
        <v>MPLT113RF</v>
      </c>
      <c r="L227" s="18" t="s">
        <v>1166</v>
      </c>
      <c r="M227" s="18" t="s">
        <v>1167</v>
      </c>
      <c r="N227" s="22" t="s">
        <v>6</v>
      </c>
      <c r="O227" s="17" t="str">
        <f aca="false">IF(K227="","",IF(COUNTIF($K$5:$K$327,K227)&gt;1,"DUPLICADO","Único"))</f>
        <v>Único</v>
      </c>
      <c r="P227" s="18" t="s">
        <v>454</v>
      </c>
      <c r="Q227" s="18"/>
      <c r="R227" s="17"/>
    </row>
    <row r="228" customFormat="false" ht="23.85" hidden="false" customHeight="false" outlineLevel="0" collapsed="false">
      <c r="A228" s="17" t="s">
        <v>434</v>
      </c>
      <c r="B228" s="17" t="s">
        <v>435</v>
      </c>
      <c r="C228" s="17" t="s">
        <v>1168</v>
      </c>
      <c r="D228" s="18" t="s">
        <v>1169</v>
      </c>
      <c r="E228" s="17" t="s">
        <v>65</v>
      </c>
      <c r="F228" s="19" t="n">
        <v>39</v>
      </c>
      <c r="G228" s="20" t="s">
        <v>434</v>
      </c>
      <c r="H228" s="20" t="s">
        <v>450</v>
      </c>
      <c r="I228" s="20" t="s">
        <v>1170</v>
      </c>
      <c r="J228" s="20" t="s">
        <v>451</v>
      </c>
      <c r="K228" s="21" t="str">
        <f aca="false">IF(OR(G228="",H228="",I228=""),"",G228&amp;H228&amp;I228&amp;J228)</f>
        <v>MPBA321SC</v>
      </c>
      <c r="L228" s="18" t="s">
        <v>1171</v>
      </c>
      <c r="M228" s="18" t="s">
        <v>1172</v>
      </c>
      <c r="N228" s="22" t="s">
        <v>6</v>
      </c>
      <c r="O228" s="17" t="str">
        <f aca="false">IF(K228="","",IF(COUNTIF($K$5:$K$327,K228)&gt;1,"DUPLICADO","Único"))</f>
        <v>Único</v>
      </c>
      <c r="P228" s="18" t="s">
        <v>454</v>
      </c>
      <c r="Q228" s="18"/>
      <c r="R228" s="17"/>
    </row>
    <row r="229" customFormat="false" ht="23.85" hidden="false" customHeight="false" outlineLevel="0" collapsed="false">
      <c r="A229" s="17" t="s">
        <v>434</v>
      </c>
      <c r="B229" s="17" t="s">
        <v>435</v>
      </c>
      <c r="C229" s="17" t="s">
        <v>1173</v>
      </c>
      <c r="D229" s="18" t="s">
        <v>1174</v>
      </c>
      <c r="E229" s="17" t="s">
        <v>568</v>
      </c>
      <c r="F229" s="19" t="n">
        <v>0</v>
      </c>
      <c r="G229" s="20" t="s">
        <v>434</v>
      </c>
      <c r="H229" s="20" t="s">
        <v>467</v>
      </c>
      <c r="I229" s="20" t="s">
        <v>1175</v>
      </c>
      <c r="J229" s="20" t="s">
        <v>451</v>
      </c>
      <c r="K229" s="21" t="str">
        <f aca="false">IF(OR(G229="",H229="",I229=""),"",G229&amp;H229&amp;I229&amp;J229)</f>
        <v>MPAD713SC</v>
      </c>
      <c r="L229" s="18" t="s">
        <v>1176</v>
      </c>
      <c r="M229" s="18" t="s">
        <v>1177</v>
      </c>
      <c r="N229" s="22" t="s">
        <v>6</v>
      </c>
      <c r="O229" s="17" t="str">
        <f aca="false">IF(K229="","",IF(COUNTIF($K$5:$K$327,K229)&gt;1,"DUPLICADO","Único"))</f>
        <v>Único</v>
      </c>
      <c r="P229" s="18" t="s">
        <v>471</v>
      </c>
      <c r="Q229" s="18"/>
      <c r="R229" s="17"/>
    </row>
    <row r="230" customFormat="false" ht="23.85" hidden="false" customHeight="false" outlineLevel="0" collapsed="false">
      <c r="A230" s="17" t="s">
        <v>434</v>
      </c>
      <c r="B230" s="17" t="s">
        <v>435</v>
      </c>
      <c r="C230" s="17" t="s">
        <v>1178</v>
      </c>
      <c r="D230" s="18" t="s">
        <v>1179</v>
      </c>
      <c r="E230" s="17" t="s">
        <v>65</v>
      </c>
      <c r="F230" s="19" t="n">
        <v>0</v>
      </c>
      <c r="G230" s="20" t="s">
        <v>434</v>
      </c>
      <c r="H230" s="20" t="s">
        <v>439</v>
      </c>
      <c r="I230" s="20" t="s">
        <v>1180</v>
      </c>
      <c r="J230" s="20" t="s">
        <v>451</v>
      </c>
      <c r="K230" s="21" t="str">
        <f aca="false">IF(OR(G230="",H230="",I230=""),"",G230&amp;H230&amp;I230&amp;J230)</f>
        <v>MPAC466SC</v>
      </c>
      <c r="L230" s="18" t="s">
        <v>1181</v>
      </c>
      <c r="M230" s="18" t="s">
        <v>1182</v>
      </c>
      <c r="N230" s="22" t="s">
        <v>6</v>
      </c>
      <c r="O230" s="17" t="str">
        <f aca="false">IF(K230="","",IF(COUNTIF($K$5:$K$327,K230)&gt;1,"DUPLICADO","Único"))</f>
        <v>Único</v>
      </c>
      <c r="P230" s="18" t="s">
        <v>454</v>
      </c>
      <c r="Q230" s="18"/>
      <c r="R230" s="17"/>
    </row>
    <row r="231" customFormat="false" ht="23.85" hidden="false" customHeight="false" outlineLevel="0" collapsed="false">
      <c r="A231" s="17" t="s">
        <v>434</v>
      </c>
      <c r="B231" s="17" t="s">
        <v>435</v>
      </c>
      <c r="C231" s="17" t="s">
        <v>1183</v>
      </c>
      <c r="D231" s="18" t="s">
        <v>1184</v>
      </c>
      <c r="E231" s="17" t="s">
        <v>65</v>
      </c>
      <c r="F231" s="19" t="n">
        <v>0</v>
      </c>
      <c r="G231" s="20" t="s">
        <v>434</v>
      </c>
      <c r="H231" s="20" t="s">
        <v>616</v>
      </c>
      <c r="I231" s="20" t="s">
        <v>1185</v>
      </c>
      <c r="J231" s="20" t="s">
        <v>451</v>
      </c>
      <c r="K231" s="21" t="str">
        <f aca="false">IF(OR(G231="",H231="",I231=""),"",G231&amp;H231&amp;I231&amp;J231)</f>
        <v>MPCE803SC</v>
      </c>
      <c r="L231" s="18" t="s">
        <v>1186</v>
      </c>
      <c r="M231" s="18" t="s">
        <v>1187</v>
      </c>
      <c r="N231" s="22" t="s">
        <v>6</v>
      </c>
      <c r="O231" s="17" t="str">
        <f aca="false">IF(K231="","",IF(COUNTIF($K$5:$K$327,K231)&gt;1,"DUPLICADO","Único"))</f>
        <v>Único</v>
      </c>
      <c r="P231" s="18" t="s">
        <v>471</v>
      </c>
      <c r="Q231" s="18"/>
      <c r="R231" s="17"/>
    </row>
    <row r="232" customFormat="false" ht="23.85" hidden="false" customHeight="false" outlineLevel="0" collapsed="false">
      <c r="A232" s="17" t="s">
        <v>434</v>
      </c>
      <c r="B232" s="17" t="s">
        <v>435</v>
      </c>
      <c r="C232" s="17" t="s">
        <v>1188</v>
      </c>
      <c r="D232" s="18" t="s">
        <v>1189</v>
      </c>
      <c r="E232" s="17" t="s">
        <v>65</v>
      </c>
      <c r="F232" s="19" t="n">
        <v>0</v>
      </c>
      <c r="G232" s="20" t="s">
        <v>434</v>
      </c>
      <c r="H232" s="20" t="s">
        <v>439</v>
      </c>
      <c r="I232" s="20" t="s">
        <v>1190</v>
      </c>
      <c r="J232" s="20" t="s">
        <v>451</v>
      </c>
      <c r="K232" s="21" t="str">
        <f aca="false">IF(OR(G232="",H232="",I232=""),"",G232&amp;H232&amp;I232&amp;J232)</f>
        <v>MPAC467SC</v>
      </c>
      <c r="L232" s="18" t="s">
        <v>1191</v>
      </c>
      <c r="M232" s="18" t="s">
        <v>1192</v>
      </c>
      <c r="N232" s="22" t="s">
        <v>6</v>
      </c>
      <c r="O232" s="17" t="str">
        <f aca="false">IF(K232="","",IF(COUNTIF($K$5:$K$327,K232)&gt;1,"DUPLICADO","Único"))</f>
        <v>Único</v>
      </c>
      <c r="P232" s="18" t="s">
        <v>454</v>
      </c>
      <c r="Q232" s="18"/>
      <c r="R232" s="17"/>
    </row>
    <row r="233" customFormat="false" ht="23.85" hidden="false" customHeight="false" outlineLevel="0" collapsed="false">
      <c r="A233" s="17" t="s">
        <v>434</v>
      </c>
      <c r="B233" s="17" t="s">
        <v>435</v>
      </c>
      <c r="C233" s="17" t="s">
        <v>1193</v>
      </c>
      <c r="D233" s="18" t="s">
        <v>1194</v>
      </c>
      <c r="E233" s="17" t="s">
        <v>65</v>
      </c>
      <c r="F233" s="19" t="n">
        <v>16.2</v>
      </c>
      <c r="G233" s="20" t="s">
        <v>434</v>
      </c>
      <c r="H233" s="20" t="s">
        <v>438</v>
      </c>
      <c r="I233" s="20" t="s">
        <v>1195</v>
      </c>
      <c r="J233" s="20" t="s">
        <v>439</v>
      </c>
      <c r="K233" s="21" t="str">
        <f aca="false">IF(OR(G233="",H233="",I233=""),"",G233&amp;H233&amp;I233&amp;J233)</f>
        <v>MPFR283AC</v>
      </c>
      <c r="L233" s="18" t="s">
        <v>1196</v>
      </c>
      <c r="M233" s="18" t="s">
        <v>1197</v>
      </c>
      <c r="N233" s="22" t="s">
        <v>6</v>
      </c>
      <c r="O233" s="17" t="str">
        <f aca="false">IF(K233="","",IF(COUNTIF($K$5:$K$327,K233)&gt;1,"DUPLICADO","Único"))</f>
        <v>Único</v>
      </c>
      <c r="P233" s="18" t="s">
        <v>454</v>
      </c>
      <c r="Q233" s="18" t="s">
        <v>1198</v>
      </c>
      <c r="R233" s="17"/>
    </row>
    <row r="234" customFormat="false" ht="23.85" hidden="false" customHeight="false" outlineLevel="0" collapsed="false">
      <c r="A234" s="17" t="s">
        <v>434</v>
      </c>
      <c r="B234" s="17" t="s">
        <v>435</v>
      </c>
      <c r="C234" s="17" t="s">
        <v>1199</v>
      </c>
      <c r="D234" s="18" t="s">
        <v>1200</v>
      </c>
      <c r="E234" s="17" t="s">
        <v>65</v>
      </c>
      <c r="F234" s="19" t="n">
        <v>0</v>
      </c>
      <c r="G234" s="20" t="s">
        <v>434</v>
      </c>
      <c r="H234" s="20" t="s">
        <v>563</v>
      </c>
      <c r="I234" s="20" t="s">
        <v>366</v>
      </c>
      <c r="J234" s="20" t="s">
        <v>451</v>
      </c>
      <c r="K234" s="21" t="str">
        <f aca="false">IF(OR(G234="",H234="",I234=""),"",G234&amp;H234&amp;I234&amp;J234)</f>
        <v>MPLT114SC</v>
      </c>
      <c r="L234" s="18" t="s">
        <v>1201</v>
      </c>
      <c r="M234" s="18" t="s">
        <v>1202</v>
      </c>
      <c r="N234" s="22" t="s">
        <v>6</v>
      </c>
      <c r="O234" s="17" t="str">
        <f aca="false">IF(K234="","",IF(COUNTIF($K$5:$K$327,K234)&gt;1,"DUPLICADO","Único"))</f>
        <v>Único</v>
      </c>
      <c r="P234" s="18" t="s">
        <v>454</v>
      </c>
      <c r="Q234" s="18"/>
      <c r="R234" s="17"/>
    </row>
    <row r="235" customFormat="false" ht="23.85" hidden="false" customHeight="false" outlineLevel="0" collapsed="false">
      <c r="A235" s="17" t="s">
        <v>434</v>
      </c>
      <c r="B235" s="17" t="s">
        <v>435</v>
      </c>
      <c r="C235" s="17" t="s">
        <v>1203</v>
      </c>
      <c r="D235" s="18" t="s">
        <v>1204</v>
      </c>
      <c r="E235" s="17" t="s">
        <v>65</v>
      </c>
      <c r="F235" s="19" t="n">
        <v>0</v>
      </c>
      <c r="G235" s="20" t="s">
        <v>434</v>
      </c>
      <c r="H235" s="20" t="s">
        <v>563</v>
      </c>
      <c r="I235" s="20" t="s">
        <v>414</v>
      </c>
      <c r="J235" s="20" t="s">
        <v>451</v>
      </c>
      <c r="K235" s="21" t="str">
        <f aca="false">IF(OR(G235="",H235="",I235=""),"",G235&amp;H235&amp;I235&amp;J235)</f>
        <v>MPLT115SC</v>
      </c>
      <c r="L235" s="18" t="s">
        <v>1205</v>
      </c>
      <c r="M235" s="18" t="s">
        <v>1206</v>
      </c>
      <c r="N235" s="22" t="s">
        <v>6</v>
      </c>
      <c r="O235" s="17" t="str">
        <f aca="false">IF(K235="","",IF(COUNTIF($K$5:$K$327,K235)&gt;1,"DUPLICADO","Único"))</f>
        <v>Único</v>
      </c>
      <c r="P235" s="18" t="s">
        <v>454</v>
      </c>
      <c r="Q235" s="18"/>
      <c r="R235" s="17"/>
    </row>
    <row r="236" customFormat="false" ht="23.85" hidden="false" customHeight="false" outlineLevel="0" collapsed="false">
      <c r="A236" s="17" t="s">
        <v>434</v>
      </c>
      <c r="B236" s="17" t="s">
        <v>435</v>
      </c>
      <c r="C236" s="17" t="s">
        <v>1207</v>
      </c>
      <c r="D236" s="18" t="s">
        <v>1208</v>
      </c>
      <c r="E236" s="17" t="s">
        <v>65</v>
      </c>
      <c r="F236" s="19" t="n">
        <v>0</v>
      </c>
      <c r="G236" s="20" t="s">
        <v>434</v>
      </c>
      <c r="H236" s="20" t="s">
        <v>563</v>
      </c>
      <c r="I236" s="20" t="s">
        <v>409</v>
      </c>
      <c r="J236" s="20" t="s">
        <v>451</v>
      </c>
      <c r="K236" s="21" t="str">
        <f aca="false">IF(OR(G236="",H236="",I236=""),"",G236&amp;H236&amp;I236&amp;J236)</f>
        <v>MPLT116SC</v>
      </c>
      <c r="L236" s="18" t="s">
        <v>1209</v>
      </c>
      <c r="M236" s="18" t="s">
        <v>1210</v>
      </c>
      <c r="N236" s="22" t="s">
        <v>6</v>
      </c>
      <c r="O236" s="17" t="str">
        <f aca="false">IF(K236="","",IF(COUNTIF($K$5:$K$327,K236)&gt;1,"DUPLICADO","Único"))</f>
        <v>Único</v>
      </c>
      <c r="P236" s="18" t="s">
        <v>454</v>
      </c>
      <c r="Q236" s="18"/>
      <c r="R236" s="17"/>
    </row>
    <row r="237" customFormat="false" ht="23.85" hidden="false" customHeight="false" outlineLevel="0" collapsed="false">
      <c r="A237" s="17" t="s">
        <v>434</v>
      </c>
      <c r="B237" s="17" t="s">
        <v>435</v>
      </c>
      <c r="C237" s="17" t="s">
        <v>1211</v>
      </c>
      <c r="D237" s="18" t="s">
        <v>1212</v>
      </c>
      <c r="E237" s="17" t="s">
        <v>65</v>
      </c>
      <c r="F237" s="19" t="n">
        <v>0</v>
      </c>
      <c r="G237" s="20" t="s">
        <v>434</v>
      </c>
      <c r="H237" s="20" t="s">
        <v>439</v>
      </c>
      <c r="I237" s="20" t="s">
        <v>1213</v>
      </c>
      <c r="J237" s="20" t="s">
        <v>451</v>
      </c>
      <c r="K237" s="21" t="str">
        <f aca="false">IF(OR(G237="",H237="",I237=""),"",G237&amp;H237&amp;I237&amp;J237)</f>
        <v>MPAC468SC</v>
      </c>
      <c r="L237" s="18" t="s">
        <v>1214</v>
      </c>
      <c r="M237" s="18" t="s">
        <v>1215</v>
      </c>
      <c r="N237" s="22" t="s">
        <v>6</v>
      </c>
      <c r="O237" s="17" t="str">
        <f aca="false">IF(K237="","",IF(COUNTIF($K$5:$K$327,K237)&gt;1,"DUPLICADO","Único"))</f>
        <v>Único</v>
      </c>
      <c r="P237" s="18" t="s">
        <v>454</v>
      </c>
      <c r="Q237" s="18"/>
      <c r="R237" s="17"/>
    </row>
    <row r="238" customFormat="false" ht="23.85" hidden="false" customHeight="false" outlineLevel="0" collapsed="false">
      <c r="A238" s="17" t="s">
        <v>434</v>
      </c>
      <c r="B238" s="17" t="s">
        <v>435</v>
      </c>
      <c r="C238" s="17" t="s">
        <v>1216</v>
      </c>
      <c r="D238" s="18" t="s">
        <v>1217</v>
      </c>
      <c r="E238" s="17" t="s">
        <v>65</v>
      </c>
      <c r="F238" s="19" t="n">
        <v>88</v>
      </c>
      <c r="G238" s="20" t="s">
        <v>434</v>
      </c>
      <c r="H238" s="20" t="s">
        <v>439</v>
      </c>
      <c r="I238" s="20" t="s">
        <v>1218</v>
      </c>
      <c r="J238" s="20" t="s">
        <v>451</v>
      </c>
      <c r="K238" s="21" t="str">
        <f aca="false">IF(OR(G238="",H238="",I238=""),"",G238&amp;H238&amp;I238&amp;J238)</f>
        <v>MPAC469SC</v>
      </c>
      <c r="L238" s="18" t="s">
        <v>1219</v>
      </c>
      <c r="M238" s="18" t="s">
        <v>1220</v>
      </c>
      <c r="N238" s="22" t="s">
        <v>6</v>
      </c>
      <c r="O238" s="17" t="str">
        <f aca="false">IF(K238="","",IF(COUNTIF($K$5:$K$327,K238)&gt;1,"DUPLICADO","Único"))</f>
        <v>Único</v>
      </c>
      <c r="P238" s="18" t="s">
        <v>454</v>
      </c>
      <c r="Q238" s="18"/>
      <c r="R238" s="17"/>
    </row>
    <row r="239" customFormat="false" ht="23.85" hidden="false" customHeight="false" outlineLevel="0" collapsed="false">
      <c r="A239" s="17" t="s">
        <v>434</v>
      </c>
      <c r="B239" s="17" t="s">
        <v>435</v>
      </c>
      <c r="C239" s="17" t="s">
        <v>1221</v>
      </c>
      <c r="D239" s="18" t="s">
        <v>1222</v>
      </c>
      <c r="E239" s="17" t="s">
        <v>65</v>
      </c>
      <c r="F239" s="19" t="n">
        <v>1.355</v>
      </c>
      <c r="G239" s="20" t="s">
        <v>434</v>
      </c>
      <c r="H239" s="20" t="s">
        <v>439</v>
      </c>
      <c r="I239" s="20" t="s">
        <v>1223</v>
      </c>
      <c r="J239" s="20" t="s">
        <v>451</v>
      </c>
      <c r="K239" s="21" t="str">
        <f aca="false">IF(OR(G239="",H239="",I239=""),"",G239&amp;H239&amp;I239&amp;J239)</f>
        <v>MPAC470SC</v>
      </c>
      <c r="L239" s="18" t="s">
        <v>1224</v>
      </c>
      <c r="M239" s="18" t="s">
        <v>1225</v>
      </c>
      <c r="N239" s="22" t="s">
        <v>6</v>
      </c>
      <c r="O239" s="17" t="str">
        <f aca="false">IF(K239="","",IF(COUNTIF($K$5:$K$327,K239)&gt;1,"DUPLICADO","Único"))</f>
        <v>Único</v>
      </c>
      <c r="P239" s="18" t="s">
        <v>454</v>
      </c>
      <c r="Q239" s="18"/>
      <c r="R239" s="17"/>
    </row>
    <row r="240" customFormat="false" ht="23.85" hidden="false" customHeight="false" outlineLevel="0" collapsed="false">
      <c r="A240" s="17" t="s">
        <v>434</v>
      </c>
      <c r="B240" s="17" t="s">
        <v>435</v>
      </c>
      <c r="C240" s="17" t="s">
        <v>1226</v>
      </c>
      <c r="D240" s="18" t="s">
        <v>1227</v>
      </c>
      <c r="E240" s="17" t="s">
        <v>65</v>
      </c>
      <c r="F240" s="19" t="n">
        <v>60</v>
      </c>
      <c r="G240" s="20" t="s">
        <v>434</v>
      </c>
      <c r="H240" s="20" t="s">
        <v>438</v>
      </c>
      <c r="I240" s="20" t="s">
        <v>708</v>
      </c>
      <c r="J240" s="20" t="s">
        <v>445</v>
      </c>
      <c r="K240" s="21" t="str">
        <f aca="false">IF(OR(G240="",H240="",I240=""),"",G240&amp;H240&amp;I240&amp;J240)</f>
        <v>MPFR243CG</v>
      </c>
      <c r="L240" s="18" t="s">
        <v>1228</v>
      </c>
      <c r="M240" s="18" t="s">
        <v>1229</v>
      </c>
      <c r="N240" s="24" t="s">
        <v>5</v>
      </c>
      <c r="O240" s="17" t="str">
        <f aca="false">IF(K240="","",IF(COUNTIF($K$5:$K$327,K240)&gt;1,"DUPLICADO","Único"))</f>
        <v>Único</v>
      </c>
      <c r="P240" s="18" t="s">
        <v>442</v>
      </c>
      <c r="Q240" s="18"/>
      <c r="R240" s="17"/>
    </row>
    <row r="241" customFormat="false" ht="23.85" hidden="false" customHeight="false" outlineLevel="0" collapsed="false">
      <c r="A241" s="17" t="s">
        <v>434</v>
      </c>
      <c r="B241" s="17" t="s">
        <v>435</v>
      </c>
      <c r="C241" s="17" t="s">
        <v>1230</v>
      </c>
      <c r="D241" s="18" t="s">
        <v>1231</v>
      </c>
      <c r="E241" s="17" t="s">
        <v>65</v>
      </c>
      <c r="F241" s="19" t="n">
        <v>30</v>
      </c>
      <c r="G241" s="20" t="s">
        <v>434</v>
      </c>
      <c r="H241" s="20" t="s">
        <v>438</v>
      </c>
      <c r="I241" s="20" t="s">
        <v>1232</v>
      </c>
      <c r="J241" s="20" t="s">
        <v>531</v>
      </c>
      <c r="K241" s="21" t="str">
        <f aca="false">IF(OR(G241="",H241="",I241=""),"",G241&amp;H241&amp;I241&amp;J241)</f>
        <v>MPFR284RF</v>
      </c>
      <c r="L241" s="18" t="s">
        <v>1233</v>
      </c>
      <c r="M241" s="18" t="s">
        <v>1234</v>
      </c>
      <c r="N241" s="22" t="s">
        <v>6</v>
      </c>
      <c r="O241" s="17" t="str">
        <f aca="false">IF(K241="","",IF(COUNTIF($K$5:$K$327,K241)&gt;1,"DUPLICADO","Único"))</f>
        <v>Único</v>
      </c>
      <c r="P241" s="18" t="s">
        <v>454</v>
      </c>
      <c r="Q241" s="18" t="s">
        <v>1198</v>
      </c>
      <c r="R241" s="17"/>
    </row>
    <row r="242" customFormat="false" ht="23.85" hidden="false" customHeight="false" outlineLevel="0" collapsed="false">
      <c r="A242" s="17" t="s">
        <v>434</v>
      </c>
      <c r="B242" s="17" t="s">
        <v>435</v>
      </c>
      <c r="C242" s="17" t="s">
        <v>1235</v>
      </c>
      <c r="D242" s="18" t="s">
        <v>1236</v>
      </c>
      <c r="E242" s="17" t="s">
        <v>65</v>
      </c>
      <c r="F242" s="19" t="n">
        <v>11</v>
      </c>
      <c r="G242" s="20" t="s">
        <v>434</v>
      </c>
      <c r="H242" s="20" t="s">
        <v>467</v>
      </c>
      <c r="I242" s="20" t="s">
        <v>1237</v>
      </c>
      <c r="J242" s="20" t="s">
        <v>451</v>
      </c>
      <c r="K242" s="21" t="str">
        <f aca="false">IF(OR(G242="",H242="",I242=""),"",G242&amp;H242&amp;I242&amp;J242)</f>
        <v>MPAD714SC</v>
      </c>
      <c r="L242" s="18" t="s">
        <v>1238</v>
      </c>
      <c r="M242" s="18" t="s">
        <v>1239</v>
      </c>
      <c r="N242" s="22" t="s">
        <v>6</v>
      </c>
      <c r="O242" s="17" t="str">
        <f aca="false">IF(K242="","",IF(COUNTIF($K$5:$K$327,K242)&gt;1,"DUPLICADO","Único"))</f>
        <v>Único</v>
      </c>
      <c r="P242" s="18" t="s">
        <v>471</v>
      </c>
      <c r="Q242" s="18"/>
      <c r="R242" s="17"/>
    </row>
    <row r="243" customFormat="false" ht="23.85" hidden="false" customHeight="false" outlineLevel="0" collapsed="false">
      <c r="A243" s="17" t="s">
        <v>434</v>
      </c>
      <c r="B243" s="17" t="s">
        <v>435</v>
      </c>
      <c r="C243" s="17" t="s">
        <v>1240</v>
      </c>
      <c r="D243" s="18" t="s">
        <v>1241</v>
      </c>
      <c r="E243" s="17" t="s">
        <v>557</v>
      </c>
      <c r="F243" s="19" t="n">
        <v>6</v>
      </c>
      <c r="G243" s="20" t="s">
        <v>434</v>
      </c>
      <c r="H243" s="20" t="s">
        <v>438</v>
      </c>
      <c r="I243" s="20" t="s">
        <v>1242</v>
      </c>
      <c r="J243" s="20" t="s">
        <v>439</v>
      </c>
      <c r="K243" s="21" t="str">
        <f aca="false">IF(OR(G243="",H243="",I243=""),"",G243&amp;H243&amp;I243&amp;J243)</f>
        <v>MPFR285AC</v>
      </c>
      <c r="L243" s="18" t="s">
        <v>1243</v>
      </c>
      <c r="M243" s="18" t="s">
        <v>1244</v>
      </c>
      <c r="N243" s="22" t="s">
        <v>6</v>
      </c>
      <c r="O243" s="17" t="str">
        <f aca="false">IF(K243="","",IF(COUNTIF($K$5:$K$327,K243)&gt;1,"DUPLICADO","Único"))</f>
        <v>Único</v>
      </c>
      <c r="P243" s="18" t="s">
        <v>454</v>
      </c>
      <c r="Q243" s="18" t="s">
        <v>1198</v>
      </c>
      <c r="R243" s="17"/>
    </row>
    <row r="244" customFormat="false" ht="23.85" hidden="false" customHeight="false" outlineLevel="0" collapsed="false">
      <c r="A244" s="17" t="s">
        <v>434</v>
      </c>
      <c r="B244" s="17" t="s">
        <v>435</v>
      </c>
      <c r="C244" s="17" t="s">
        <v>1245</v>
      </c>
      <c r="D244" s="18" t="s">
        <v>1246</v>
      </c>
      <c r="E244" s="17" t="s">
        <v>65</v>
      </c>
      <c r="F244" s="19" t="n">
        <v>14</v>
      </c>
      <c r="G244" s="20" t="s">
        <v>434</v>
      </c>
      <c r="H244" s="20" t="s">
        <v>439</v>
      </c>
      <c r="I244" s="20" t="s">
        <v>1247</v>
      </c>
      <c r="J244" s="20" t="s">
        <v>451</v>
      </c>
      <c r="K244" s="21" t="str">
        <f aca="false">IF(OR(G244="",H244="",I244=""),"",G244&amp;H244&amp;I244&amp;J244)</f>
        <v>MPAC471SC</v>
      </c>
      <c r="L244" s="18" t="s">
        <v>1248</v>
      </c>
      <c r="M244" s="18" t="s">
        <v>1249</v>
      </c>
      <c r="N244" s="22" t="s">
        <v>6</v>
      </c>
      <c r="O244" s="17" t="str">
        <f aca="false">IF(K244="","",IF(COUNTIF($K$5:$K$327,K244)&gt;1,"DUPLICADO","Único"))</f>
        <v>Único</v>
      </c>
      <c r="P244" s="18" t="s">
        <v>454</v>
      </c>
      <c r="Q244" s="18"/>
      <c r="R244" s="17"/>
    </row>
    <row r="245" customFormat="false" ht="23.85" hidden="false" customHeight="false" outlineLevel="0" collapsed="false">
      <c r="A245" s="17" t="s">
        <v>434</v>
      </c>
      <c r="B245" s="17" t="s">
        <v>435</v>
      </c>
      <c r="C245" s="17" t="s">
        <v>1250</v>
      </c>
      <c r="D245" s="18" t="s">
        <v>1251</v>
      </c>
      <c r="E245" s="17" t="s">
        <v>65</v>
      </c>
      <c r="F245" s="19" t="n">
        <v>0</v>
      </c>
      <c r="G245" s="20" t="s">
        <v>434</v>
      </c>
      <c r="H245" s="20" t="s">
        <v>438</v>
      </c>
      <c r="I245" s="20" t="s">
        <v>708</v>
      </c>
      <c r="J245" s="20" t="s">
        <v>531</v>
      </c>
      <c r="K245" s="21" t="str">
        <f aca="false">IF(OR(G245="",H245="",I245=""),"",G245&amp;H245&amp;I245&amp;J245)</f>
        <v>MPFR243RF</v>
      </c>
      <c r="L245" s="18" t="s">
        <v>1252</v>
      </c>
      <c r="M245" s="18" t="s">
        <v>1253</v>
      </c>
      <c r="N245" s="24" t="s">
        <v>5</v>
      </c>
      <c r="O245" s="17" t="str">
        <f aca="false">IF(K245="","",IF(COUNTIF($K$5:$K$327,K245)&gt;1,"DUPLICADO","Único"))</f>
        <v>Único</v>
      </c>
      <c r="P245" s="18" t="s">
        <v>442</v>
      </c>
      <c r="Q245" s="18"/>
      <c r="R245" s="17"/>
    </row>
    <row r="246" customFormat="false" ht="23.85" hidden="false" customHeight="false" outlineLevel="0" collapsed="false">
      <c r="A246" s="17" t="s">
        <v>434</v>
      </c>
      <c r="B246" s="17" t="s">
        <v>435</v>
      </c>
      <c r="C246" s="17" t="s">
        <v>1254</v>
      </c>
      <c r="D246" s="18" t="s">
        <v>1255</v>
      </c>
      <c r="E246" s="17" t="s">
        <v>65</v>
      </c>
      <c r="F246" s="19" t="n">
        <v>0</v>
      </c>
      <c r="G246" s="20" t="s">
        <v>434</v>
      </c>
      <c r="H246" s="20" t="s">
        <v>438</v>
      </c>
      <c r="I246" s="20" t="s">
        <v>812</v>
      </c>
      <c r="J246" s="20" t="s">
        <v>531</v>
      </c>
      <c r="K246" s="21" t="str">
        <f aca="false">IF(OR(G246="",H246="",I246=""),"",G246&amp;H246&amp;I246&amp;J246)</f>
        <v>MPFR268RF</v>
      </c>
      <c r="L246" s="18" t="s">
        <v>1256</v>
      </c>
      <c r="M246" s="18" t="s">
        <v>1257</v>
      </c>
      <c r="N246" s="24" t="s">
        <v>5</v>
      </c>
      <c r="O246" s="17" t="str">
        <f aca="false">IF(K246="","",IF(COUNTIF($K$5:$K$327,K246)&gt;1,"DUPLICADO","Único"))</f>
        <v>Único</v>
      </c>
      <c r="P246" s="18" t="s">
        <v>442</v>
      </c>
      <c r="Q246" s="18"/>
      <c r="R246" s="17"/>
    </row>
    <row r="247" customFormat="false" ht="23.85" hidden="false" customHeight="false" outlineLevel="0" collapsed="false">
      <c r="A247" s="17" t="s">
        <v>434</v>
      </c>
      <c r="B247" s="17" t="s">
        <v>435</v>
      </c>
      <c r="C247" s="17" t="s">
        <v>1258</v>
      </c>
      <c r="D247" s="18" t="s">
        <v>1259</v>
      </c>
      <c r="E247" s="17" t="s">
        <v>65</v>
      </c>
      <c r="F247" s="19" t="n">
        <v>0</v>
      </c>
      <c r="G247" s="20" t="s">
        <v>434</v>
      </c>
      <c r="H247" s="20" t="s">
        <v>467</v>
      </c>
      <c r="I247" s="20" t="s">
        <v>1260</v>
      </c>
      <c r="J247" s="20" t="s">
        <v>439</v>
      </c>
      <c r="K247" s="21" t="str">
        <f aca="false">IF(OR(G247="",H247="",I247=""),"",G247&amp;H247&amp;I247&amp;J247)</f>
        <v>MPAD715AC</v>
      </c>
      <c r="L247" s="18" t="s">
        <v>1261</v>
      </c>
      <c r="M247" s="18" t="s">
        <v>1262</v>
      </c>
      <c r="N247" s="22" t="s">
        <v>6</v>
      </c>
      <c r="O247" s="17" t="str">
        <f aca="false">IF(K247="","",IF(COUNTIF($K$5:$K$327,K247)&gt;1,"DUPLICADO","Único"))</f>
        <v>Único</v>
      </c>
      <c r="P247" s="18" t="s">
        <v>471</v>
      </c>
      <c r="Q247" s="18"/>
      <c r="R247" s="17"/>
    </row>
    <row r="248" customFormat="false" ht="23.85" hidden="false" customHeight="false" outlineLevel="0" collapsed="false">
      <c r="A248" s="17" t="s">
        <v>434</v>
      </c>
      <c r="B248" s="17" t="s">
        <v>435</v>
      </c>
      <c r="C248" s="17" t="s">
        <v>1263</v>
      </c>
      <c r="D248" s="18" t="s">
        <v>1264</v>
      </c>
      <c r="E248" s="17" t="s">
        <v>65</v>
      </c>
      <c r="F248" s="19" t="n">
        <v>0</v>
      </c>
      <c r="G248" s="20" t="s">
        <v>434</v>
      </c>
      <c r="H248" s="20" t="s">
        <v>438</v>
      </c>
      <c r="I248" s="20" t="s">
        <v>1265</v>
      </c>
      <c r="J248" s="20" t="s">
        <v>439</v>
      </c>
      <c r="K248" s="21" t="str">
        <f aca="false">IF(OR(G248="",H248="",I248=""),"",G248&amp;H248&amp;I248&amp;J248)</f>
        <v>MPFR223AC</v>
      </c>
      <c r="L248" s="18" t="s">
        <v>1266</v>
      </c>
      <c r="M248" s="18" t="s">
        <v>1267</v>
      </c>
      <c r="N248" s="24" t="s">
        <v>5</v>
      </c>
      <c r="O248" s="17" t="str">
        <f aca="false">IF(K248="","",IF(COUNTIF($K$5:$K$327,K248)&gt;1,"DUPLICADO","Único"))</f>
        <v>Único</v>
      </c>
      <c r="P248" s="18" t="s">
        <v>442</v>
      </c>
      <c r="Q248" s="18"/>
      <c r="R248" s="17"/>
    </row>
    <row r="249" customFormat="false" ht="23.85" hidden="false" customHeight="false" outlineLevel="0" collapsed="false">
      <c r="A249" s="17" t="s">
        <v>434</v>
      </c>
      <c r="B249" s="17" t="s">
        <v>435</v>
      </c>
      <c r="C249" s="17" t="s">
        <v>1268</v>
      </c>
      <c r="D249" s="18" t="s">
        <v>1269</v>
      </c>
      <c r="E249" s="17" t="s">
        <v>65</v>
      </c>
      <c r="F249" s="19" t="n">
        <v>0</v>
      </c>
      <c r="G249" s="20" t="s">
        <v>434</v>
      </c>
      <c r="H249" s="20" t="s">
        <v>467</v>
      </c>
      <c r="I249" s="20" t="s">
        <v>1270</v>
      </c>
      <c r="J249" s="20" t="s">
        <v>451</v>
      </c>
      <c r="K249" s="21" t="str">
        <f aca="false">IF(OR(G249="",H249="",I249=""),"",G249&amp;H249&amp;I249&amp;J249)</f>
        <v>MPAD716SC</v>
      </c>
      <c r="L249" s="18" t="s">
        <v>1271</v>
      </c>
      <c r="M249" s="18" t="s">
        <v>1272</v>
      </c>
      <c r="N249" s="22" t="s">
        <v>6</v>
      </c>
      <c r="O249" s="17" t="str">
        <f aca="false">IF(K249="","",IF(COUNTIF($K$5:$K$327,K249)&gt;1,"DUPLICADO","Único"))</f>
        <v>Único</v>
      </c>
      <c r="P249" s="18" t="s">
        <v>471</v>
      </c>
      <c r="Q249" s="18"/>
      <c r="R249" s="17"/>
    </row>
    <row r="250" customFormat="false" ht="23.85" hidden="false" customHeight="false" outlineLevel="0" collapsed="false">
      <c r="A250" s="17" t="s">
        <v>434</v>
      </c>
      <c r="B250" s="17" t="s">
        <v>435</v>
      </c>
      <c r="C250" s="17" t="s">
        <v>1273</v>
      </c>
      <c r="D250" s="18" t="s">
        <v>1274</v>
      </c>
      <c r="E250" s="17" t="s">
        <v>65</v>
      </c>
      <c r="F250" s="19" t="n">
        <v>0</v>
      </c>
      <c r="G250" s="20" t="s">
        <v>434</v>
      </c>
      <c r="H250" s="20" t="s">
        <v>438</v>
      </c>
      <c r="I250" s="20" t="s">
        <v>657</v>
      </c>
      <c r="J250" s="20" t="s">
        <v>531</v>
      </c>
      <c r="K250" s="21" t="str">
        <f aca="false">IF(OR(G250="",H250="",I250=""),"",G250&amp;H250&amp;I250&amp;J250)</f>
        <v>MPFR235RF</v>
      </c>
      <c r="L250" s="18" t="s">
        <v>1275</v>
      </c>
      <c r="M250" s="18" t="s">
        <v>1276</v>
      </c>
      <c r="N250" s="24" t="s">
        <v>5</v>
      </c>
      <c r="O250" s="17" t="str">
        <f aca="false">IF(K250="","",IF(COUNTIF($K$5:$K$327,K250)&gt;1,"DUPLICADO","Único"))</f>
        <v>Único</v>
      </c>
      <c r="P250" s="18" t="s">
        <v>442</v>
      </c>
      <c r="Q250" s="18"/>
      <c r="R250" s="17"/>
    </row>
    <row r="251" customFormat="false" ht="23.85" hidden="false" customHeight="false" outlineLevel="0" collapsed="false">
      <c r="A251" s="17" t="s">
        <v>434</v>
      </c>
      <c r="B251" s="17" t="s">
        <v>435</v>
      </c>
      <c r="C251" s="17" t="s">
        <v>1277</v>
      </c>
      <c r="D251" s="18" t="s">
        <v>1278</v>
      </c>
      <c r="E251" s="17" t="s">
        <v>65</v>
      </c>
      <c r="F251" s="19" t="n">
        <v>0</v>
      </c>
      <c r="G251" s="20" t="s">
        <v>434</v>
      </c>
      <c r="H251" s="20" t="s">
        <v>450</v>
      </c>
      <c r="I251" s="20" t="s">
        <v>1279</v>
      </c>
      <c r="J251" s="20" t="s">
        <v>451</v>
      </c>
      <c r="K251" s="21" t="str">
        <f aca="false">IF(OR(G251="",H251="",I251=""),"",G251&amp;H251&amp;I251&amp;J251)</f>
        <v>MPBA322SC</v>
      </c>
      <c r="L251" s="18" t="s">
        <v>1280</v>
      </c>
      <c r="M251" s="18" t="s">
        <v>1281</v>
      </c>
      <c r="N251" s="22" t="s">
        <v>6</v>
      </c>
      <c r="O251" s="17" t="str">
        <f aca="false">IF(K251="","",IF(COUNTIF($K$5:$K$327,K251)&gt;1,"DUPLICADO","Único"))</f>
        <v>Único</v>
      </c>
      <c r="P251" s="18" t="s">
        <v>454</v>
      </c>
      <c r="Q251" s="18"/>
      <c r="R251" s="17"/>
    </row>
    <row r="252" customFormat="false" ht="23.85" hidden="false" customHeight="false" outlineLevel="0" collapsed="false">
      <c r="A252" s="17" t="s">
        <v>434</v>
      </c>
      <c r="B252" s="17" t="s">
        <v>435</v>
      </c>
      <c r="C252" s="17" t="s">
        <v>1282</v>
      </c>
      <c r="D252" s="18" t="s">
        <v>1283</v>
      </c>
      <c r="E252" s="17" t="s">
        <v>65</v>
      </c>
      <c r="F252" s="19" t="n">
        <v>0</v>
      </c>
      <c r="G252" s="20" t="s">
        <v>434</v>
      </c>
      <c r="H252" s="20" t="s">
        <v>439</v>
      </c>
      <c r="I252" s="20" t="s">
        <v>1284</v>
      </c>
      <c r="J252" s="20" t="s">
        <v>451</v>
      </c>
      <c r="K252" s="21" t="str">
        <f aca="false">IF(OR(G252="",H252="",I252=""),"",G252&amp;H252&amp;I252&amp;J252)</f>
        <v>MPAC472SC</v>
      </c>
      <c r="L252" s="18" t="s">
        <v>1285</v>
      </c>
      <c r="M252" s="18" t="s">
        <v>1286</v>
      </c>
      <c r="N252" s="22" t="s">
        <v>6</v>
      </c>
      <c r="O252" s="17" t="str">
        <f aca="false">IF(K252="","",IF(COUNTIF($K$5:$K$327,K252)&gt;1,"DUPLICADO","Único"))</f>
        <v>Único</v>
      </c>
      <c r="P252" s="18" t="s">
        <v>454</v>
      </c>
      <c r="Q252" s="18"/>
      <c r="R252" s="17"/>
    </row>
    <row r="253" customFormat="false" ht="23.85" hidden="false" customHeight="false" outlineLevel="0" collapsed="false">
      <c r="A253" s="17" t="s">
        <v>1287</v>
      </c>
      <c r="B253" s="17" t="s">
        <v>1288</v>
      </c>
      <c r="C253" s="17" t="s">
        <v>1289</v>
      </c>
      <c r="D253" s="18" t="s">
        <v>1290</v>
      </c>
      <c r="E253" s="17" t="s">
        <v>1291</v>
      </c>
      <c r="F253" s="19" t="n">
        <v>483</v>
      </c>
      <c r="G253" s="20" t="s">
        <v>1287</v>
      </c>
      <c r="H253" s="20" t="s">
        <v>1292</v>
      </c>
      <c r="I253" s="20" t="s">
        <v>108</v>
      </c>
      <c r="J253" s="20"/>
      <c r="K253" s="21" t="str">
        <f aca="false">IF(OR(G253="",H253="",I253=""),"",G253&amp;H253&amp;I253&amp;J253)</f>
        <v>EMPR200</v>
      </c>
      <c r="L253" s="18" t="s">
        <v>1290</v>
      </c>
      <c r="M253" s="18" t="s">
        <v>1293</v>
      </c>
      <c r="N253" s="22" t="s">
        <v>6</v>
      </c>
      <c r="O253" s="17" t="str">
        <f aca="false">IF(K253="","",IF(COUNTIF($K$5:$K$327,K253)&gt;1,"DUPLICADO","Único"))</f>
        <v>Único</v>
      </c>
      <c r="P253" s="18" t="s">
        <v>1294</v>
      </c>
      <c r="Q253" s="18"/>
      <c r="R253" s="17"/>
    </row>
    <row r="254" customFormat="false" ht="23.85" hidden="false" customHeight="false" outlineLevel="0" collapsed="false">
      <c r="A254" s="17" t="s">
        <v>1287</v>
      </c>
      <c r="B254" s="17" t="s">
        <v>1288</v>
      </c>
      <c r="C254" s="17" t="s">
        <v>1295</v>
      </c>
      <c r="D254" s="18" t="s">
        <v>1296</v>
      </c>
      <c r="E254" s="17" t="s">
        <v>1291</v>
      </c>
      <c r="F254" s="19" t="n">
        <v>533</v>
      </c>
      <c r="G254" s="20" t="s">
        <v>1287</v>
      </c>
      <c r="H254" s="20" t="s">
        <v>1292</v>
      </c>
      <c r="I254" s="20" t="s">
        <v>96</v>
      </c>
      <c r="J254" s="20"/>
      <c r="K254" s="21" t="str">
        <f aca="false">IF(OR(G254="",H254="",I254=""),"",G254&amp;H254&amp;I254&amp;J254)</f>
        <v>EMPR201</v>
      </c>
      <c r="L254" s="18" t="s">
        <v>1296</v>
      </c>
      <c r="M254" s="18" t="s">
        <v>1297</v>
      </c>
      <c r="N254" s="22" t="s">
        <v>6</v>
      </c>
      <c r="O254" s="17" t="str">
        <f aca="false">IF(K254="","",IF(COUNTIF($K$5:$K$327,K254)&gt;1,"DUPLICADO","Único"))</f>
        <v>Único</v>
      </c>
      <c r="P254" s="18" t="s">
        <v>1294</v>
      </c>
      <c r="Q254" s="18"/>
      <c r="R254" s="17"/>
    </row>
    <row r="255" customFormat="false" ht="23.85" hidden="false" customHeight="false" outlineLevel="0" collapsed="false">
      <c r="A255" s="17" t="s">
        <v>1287</v>
      </c>
      <c r="B255" s="17" t="s">
        <v>1288</v>
      </c>
      <c r="C255" s="17" t="s">
        <v>1298</v>
      </c>
      <c r="D255" s="18" t="s">
        <v>1299</v>
      </c>
      <c r="E255" s="17" t="s">
        <v>1291</v>
      </c>
      <c r="F255" s="19" t="n">
        <v>1118</v>
      </c>
      <c r="G255" s="20" t="s">
        <v>1287</v>
      </c>
      <c r="H255" s="20" t="s">
        <v>1292</v>
      </c>
      <c r="I255" s="20" t="s">
        <v>361</v>
      </c>
      <c r="J255" s="20"/>
      <c r="K255" s="21" t="str">
        <f aca="false">IF(OR(G255="",H255="",I255=""),"",G255&amp;H255&amp;I255&amp;J255)</f>
        <v>EMPR202</v>
      </c>
      <c r="L255" s="18" t="s">
        <v>1299</v>
      </c>
      <c r="M255" s="18" t="s">
        <v>1300</v>
      </c>
      <c r="N255" s="22" t="s">
        <v>6</v>
      </c>
      <c r="O255" s="17" t="str">
        <f aca="false">IF(K255="","",IF(COUNTIF($K$5:$K$327,K255)&gt;1,"DUPLICADO","Único"))</f>
        <v>Único</v>
      </c>
      <c r="P255" s="18" t="s">
        <v>1294</v>
      </c>
      <c r="Q255" s="18"/>
      <c r="R255" s="17"/>
    </row>
    <row r="256" customFormat="false" ht="23.85" hidden="false" customHeight="false" outlineLevel="0" collapsed="false">
      <c r="A256" s="17" t="s">
        <v>1287</v>
      </c>
      <c r="B256" s="17" t="s">
        <v>1288</v>
      </c>
      <c r="C256" s="17" t="s">
        <v>1301</v>
      </c>
      <c r="D256" s="18" t="s">
        <v>1302</v>
      </c>
      <c r="E256" s="17" t="s">
        <v>1291</v>
      </c>
      <c r="F256" s="19" t="n">
        <v>1534</v>
      </c>
      <c r="G256" s="20" t="s">
        <v>1287</v>
      </c>
      <c r="H256" s="20" t="s">
        <v>1292</v>
      </c>
      <c r="I256" s="20" t="s">
        <v>102</v>
      </c>
      <c r="J256" s="20"/>
      <c r="K256" s="21" t="str">
        <f aca="false">IF(OR(G256="",H256="",I256=""),"",G256&amp;H256&amp;I256&amp;J256)</f>
        <v>EMPR203</v>
      </c>
      <c r="L256" s="18" t="s">
        <v>1302</v>
      </c>
      <c r="M256" s="18" t="s">
        <v>1303</v>
      </c>
      <c r="N256" s="22" t="s">
        <v>6</v>
      </c>
      <c r="O256" s="17" t="str">
        <f aca="false">IF(K256="","",IF(COUNTIF($K$5:$K$327,K256)&gt;1,"DUPLICADO","Único"))</f>
        <v>Único</v>
      </c>
      <c r="P256" s="18" t="s">
        <v>1294</v>
      </c>
      <c r="Q256" s="18"/>
      <c r="R256" s="17"/>
    </row>
    <row r="257" customFormat="false" ht="23.85" hidden="false" customHeight="false" outlineLevel="0" collapsed="false">
      <c r="A257" s="17" t="s">
        <v>1287</v>
      </c>
      <c r="B257" s="17" t="s">
        <v>1288</v>
      </c>
      <c r="C257" s="17" t="s">
        <v>1304</v>
      </c>
      <c r="D257" s="18" t="s">
        <v>1305</v>
      </c>
      <c r="E257" s="17"/>
      <c r="F257" s="19" t="n">
        <v>561</v>
      </c>
      <c r="G257" s="20" t="s">
        <v>1287</v>
      </c>
      <c r="H257" s="20" t="s">
        <v>1292</v>
      </c>
      <c r="I257" s="20" t="s">
        <v>782</v>
      </c>
      <c r="J257" s="20"/>
      <c r="K257" s="21" t="str">
        <f aca="false">IF(OR(G257="",H257="",I257=""),"",G257&amp;H257&amp;I257&amp;J257)</f>
        <v>EMPR501</v>
      </c>
      <c r="L257" s="18" t="s">
        <v>1305</v>
      </c>
      <c r="M257" s="18" t="s">
        <v>1306</v>
      </c>
      <c r="N257" s="22" t="s">
        <v>6</v>
      </c>
      <c r="O257" s="17" t="str">
        <f aca="false">IF(K257="","",IF(COUNTIF($K$5:$K$327,K257)&gt;1,"DUPLICADO","Único"))</f>
        <v>Único</v>
      </c>
      <c r="P257" s="18" t="s">
        <v>1307</v>
      </c>
      <c r="Q257" s="18" t="s">
        <v>1308</v>
      </c>
      <c r="R257" s="17"/>
    </row>
    <row r="258" customFormat="false" ht="23.85" hidden="false" customHeight="false" outlineLevel="0" collapsed="false">
      <c r="A258" s="17" t="s">
        <v>1287</v>
      </c>
      <c r="B258" s="17" t="s">
        <v>1288</v>
      </c>
      <c r="C258" s="17" t="s">
        <v>1309</v>
      </c>
      <c r="D258" s="18" t="s">
        <v>1310</v>
      </c>
      <c r="E258" s="17"/>
      <c r="F258" s="19" t="n">
        <v>625</v>
      </c>
      <c r="G258" s="20" t="s">
        <v>1287</v>
      </c>
      <c r="H258" s="20" t="s">
        <v>1292</v>
      </c>
      <c r="I258" s="20" t="s">
        <v>1070</v>
      </c>
      <c r="J258" s="20"/>
      <c r="K258" s="21" t="str">
        <f aca="false">IF(OR(G258="",H258="",I258=""),"",G258&amp;H258&amp;I258&amp;J258)</f>
        <v>EMPR502</v>
      </c>
      <c r="L258" s="18" t="s">
        <v>1310</v>
      </c>
      <c r="M258" s="18" t="s">
        <v>1311</v>
      </c>
      <c r="N258" s="22" t="s">
        <v>6</v>
      </c>
      <c r="O258" s="17" t="str">
        <f aca="false">IF(K258="","",IF(COUNTIF($K$5:$K$327,K258)&gt;1,"DUPLICADO","Único"))</f>
        <v>Único</v>
      </c>
      <c r="P258" s="18" t="s">
        <v>1307</v>
      </c>
      <c r="Q258" s="18" t="s">
        <v>1308</v>
      </c>
      <c r="R258" s="17"/>
    </row>
    <row r="259" customFormat="false" ht="23.85" hidden="false" customHeight="false" outlineLevel="0" collapsed="false">
      <c r="A259" s="17" t="s">
        <v>1287</v>
      </c>
      <c r="B259" s="17" t="s">
        <v>1288</v>
      </c>
      <c r="C259" s="17" t="s">
        <v>1312</v>
      </c>
      <c r="D259" s="18" t="s">
        <v>1313</v>
      </c>
      <c r="E259" s="17" t="s">
        <v>172</v>
      </c>
      <c r="F259" s="19" t="n">
        <v>1377</v>
      </c>
      <c r="G259" s="20" t="s">
        <v>1287</v>
      </c>
      <c r="H259" s="20" t="s">
        <v>1292</v>
      </c>
      <c r="I259" s="20" t="s">
        <v>1102</v>
      </c>
      <c r="J259" s="20"/>
      <c r="K259" s="21" t="str">
        <f aca="false">IF(OR(G259="",H259="",I259=""),"",G259&amp;H259&amp;I259&amp;J259)</f>
        <v>EMPR503</v>
      </c>
      <c r="L259" s="18" t="s">
        <v>1313</v>
      </c>
      <c r="M259" s="18" t="s">
        <v>1314</v>
      </c>
      <c r="N259" s="22" t="s">
        <v>6</v>
      </c>
      <c r="O259" s="17" t="str">
        <f aca="false">IF(K259="","",IF(COUNTIF($K$5:$K$327,K259)&gt;1,"DUPLICADO","Único"))</f>
        <v>Único</v>
      </c>
      <c r="P259" s="18" t="s">
        <v>1307</v>
      </c>
      <c r="Q259" s="18" t="s">
        <v>1308</v>
      </c>
      <c r="R259" s="17"/>
    </row>
    <row r="260" customFormat="false" ht="23.85" hidden="false" customHeight="false" outlineLevel="0" collapsed="false">
      <c r="A260" s="17" t="s">
        <v>1287</v>
      </c>
      <c r="B260" s="17" t="s">
        <v>1288</v>
      </c>
      <c r="C260" s="17" t="s">
        <v>1315</v>
      </c>
      <c r="D260" s="18" t="s">
        <v>1316</v>
      </c>
      <c r="E260" s="17"/>
      <c r="F260" s="19" t="n">
        <v>1735</v>
      </c>
      <c r="G260" s="20" t="s">
        <v>1287</v>
      </c>
      <c r="H260" s="20" t="s">
        <v>1292</v>
      </c>
      <c r="I260" s="20" t="s">
        <v>1317</v>
      </c>
      <c r="J260" s="20"/>
      <c r="K260" s="21" t="str">
        <f aca="false">IF(OR(G260="",H260="",I260=""),"",G260&amp;H260&amp;I260&amp;J260)</f>
        <v>EMPR504</v>
      </c>
      <c r="L260" s="18" t="s">
        <v>1316</v>
      </c>
      <c r="M260" s="18" t="s">
        <v>1318</v>
      </c>
      <c r="N260" s="22" t="s">
        <v>6</v>
      </c>
      <c r="O260" s="17" t="str">
        <f aca="false">IF(K260="","",IF(COUNTIF($K$5:$K$327,K260)&gt;1,"DUPLICADO","Único"))</f>
        <v>Único</v>
      </c>
      <c r="P260" s="18" t="s">
        <v>1307</v>
      </c>
      <c r="Q260" s="18" t="s">
        <v>1308</v>
      </c>
      <c r="R260" s="17"/>
    </row>
    <row r="261" customFormat="false" ht="35.05" hidden="false" customHeight="false" outlineLevel="0" collapsed="false">
      <c r="A261" s="17" t="s">
        <v>1287</v>
      </c>
      <c r="B261" s="17" t="s">
        <v>1288</v>
      </c>
      <c r="C261" s="17" t="s">
        <v>1319</v>
      </c>
      <c r="D261" s="18" t="s">
        <v>1320</v>
      </c>
      <c r="E261" s="17" t="s">
        <v>172</v>
      </c>
      <c r="F261" s="19" t="n">
        <v>150</v>
      </c>
      <c r="G261" s="20" t="s">
        <v>1287</v>
      </c>
      <c r="H261" s="20" t="s">
        <v>1292</v>
      </c>
      <c r="I261" s="20" t="s">
        <v>468</v>
      </c>
      <c r="J261" s="20"/>
      <c r="K261" s="21" t="str">
        <f aca="false">IF(OR(G261="",H261="",I261=""),"",G261&amp;H261&amp;I261&amp;J261)</f>
        <v>EMPR700</v>
      </c>
      <c r="L261" s="18" t="s">
        <v>1320</v>
      </c>
      <c r="M261" s="18" t="s">
        <v>1321</v>
      </c>
      <c r="N261" s="22" t="s">
        <v>6</v>
      </c>
      <c r="O261" s="17" t="str">
        <f aca="false">IF(K261="","",IF(COUNTIF($K$5:$K$327,K261)&gt;1,"DUPLICADO","Único"))</f>
        <v>Único</v>
      </c>
      <c r="P261" s="18" t="s">
        <v>1322</v>
      </c>
      <c r="Q261" s="18" t="s">
        <v>1308</v>
      </c>
      <c r="R261" s="17"/>
    </row>
    <row r="262" customFormat="false" ht="23.85" hidden="false" customHeight="false" outlineLevel="0" collapsed="false">
      <c r="A262" s="17" t="s">
        <v>1287</v>
      </c>
      <c r="B262" s="17" t="s">
        <v>1288</v>
      </c>
      <c r="C262" s="17" t="s">
        <v>1323</v>
      </c>
      <c r="D262" s="18" t="s">
        <v>1324</v>
      </c>
      <c r="E262" s="17" t="s">
        <v>172</v>
      </c>
      <c r="F262" s="19" t="n">
        <v>850</v>
      </c>
      <c r="G262" s="20" t="s">
        <v>1287</v>
      </c>
      <c r="H262" s="20" t="s">
        <v>1325</v>
      </c>
      <c r="I262" s="20" t="s">
        <v>220</v>
      </c>
      <c r="J262" s="20"/>
      <c r="K262" s="21" t="str">
        <f aca="false">IF(OR(G262="",H262="",I262=""),"",G262&amp;H262&amp;I262&amp;J262)</f>
        <v>EMSE100</v>
      </c>
      <c r="L262" s="18" t="s">
        <v>1324</v>
      </c>
      <c r="M262" s="18" t="s">
        <v>1326</v>
      </c>
      <c r="N262" s="22" t="s">
        <v>6</v>
      </c>
      <c r="O262" s="17" t="str">
        <f aca="false">IF(K262="","",IF(COUNTIF($K$5:$K$327,K262)&gt;1,"DUPLICADO","Único"))</f>
        <v>Único</v>
      </c>
      <c r="P262" s="18" t="s">
        <v>1327</v>
      </c>
      <c r="Q262" s="18"/>
      <c r="R262" s="17"/>
    </row>
    <row r="263" customFormat="false" ht="23.85" hidden="false" customHeight="false" outlineLevel="0" collapsed="false">
      <c r="A263" s="17" t="s">
        <v>1287</v>
      </c>
      <c r="B263" s="17" t="s">
        <v>1288</v>
      </c>
      <c r="C263" s="17" t="s">
        <v>1328</v>
      </c>
      <c r="D263" s="18" t="s">
        <v>1329</v>
      </c>
      <c r="E263" s="17" t="s">
        <v>172</v>
      </c>
      <c r="F263" s="19" t="n">
        <v>885</v>
      </c>
      <c r="G263" s="20" t="s">
        <v>1287</v>
      </c>
      <c r="H263" s="20" t="s">
        <v>1325</v>
      </c>
      <c r="I263" s="20" t="s">
        <v>225</v>
      </c>
      <c r="J263" s="20"/>
      <c r="K263" s="21" t="str">
        <f aca="false">IF(OR(G263="",H263="",I263=""),"",G263&amp;H263&amp;I263&amp;J263)</f>
        <v>EMSE101</v>
      </c>
      <c r="L263" s="18" t="s">
        <v>1329</v>
      </c>
      <c r="M263" s="18" t="s">
        <v>1330</v>
      </c>
      <c r="N263" s="22" t="s">
        <v>6</v>
      </c>
      <c r="O263" s="17" t="str">
        <f aca="false">IF(K263="","",IF(COUNTIF($K$5:$K$327,K263)&gt;1,"DUPLICADO","Único"))</f>
        <v>Único</v>
      </c>
      <c r="P263" s="18" t="s">
        <v>1327</v>
      </c>
      <c r="Q263" s="18"/>
      <c r="R263" s="17"/>
    </row>
    <row r="264" customFormat="false" ht="23.85" hidden="false" customHeight="false" outlineLevel="0" collapsed="false">
      <c r="A264" s="17" t="s">
        <v>1287</v>
      </c>
      <c r="B264" s="17" t="s">
        <v>1288</v>
      </c>
      <c r="C264" s="17" t="s">
        <v>1331</v>
      </c>
      <c r="D264" s="18" t="s">
        <v>1332</v>
      </c>
      <c r="E264" s="17" t="s">
        <v>1291</v>
      </c>
      <c r="F264" s="19" t="n">
        <v>3028</v>
      </c>
      <c r="G264" s="20" t="s">
        <v>1287</v>
      </c>
      <c r="H264" s="20" t="s">
        <v>1292</v>
      </c>
      <c r="I264" s="20" t="s">
        <v>187</v>
      </c>
      <c r="J264" s="20"/>
      <c r="K264" s="21" t="str">
        <f aca="false">IF(OR(G264="",H264="",I264=""),"",G264&amp;H264&amp;I264&amp;J264)</f>
        <v>EMPR204</v>
      </c>
      <c r="L264" s="18" t="s">
        <v>1332</v>
      </c>
      <c r="M264" s="18" t="s">
        <v>1333</v>
      </c>
      <c r="N264" s="22" t="s">
        <v>6</v>
      </c>
      <c r="O264" s="17" t="str">
        <f aca="false">IF(K264="","",IF(COUNTIF($K$5:$K$327,K264)&gt;1,"DUPLICADO","Único"))</f>
        <v>Único</v>
      </c>
      <c r="P264" s="18" t="s">
        <v>1294</v>
      </c>
      <c r="Q264" s="18"/>
      <c r="R264" s="17"/>
    </row>
    <row r="265" customFormat="false" ht="23.85" hidden="false" customHeight="false" outlineLevel="0" collapsed="false">
      <c r="A265" s="17" t="s">
        <v>1287</v>
      </c>
      <c r="B265" s="17" t="s">
        <v>1288</v>
      </c>
      <c r="C265" s="17" t="s">
        <v>1334</v>
      </c>
      <c r="D265" s="18" t="s">
        <v>1335</v>
      </c>
      <c r="E265" s="17" t="s">
        <v>1291</v>
      </c>
      <c r="F265" s="19" t="n">
        <v>3039</v>
      </c>
      <c r="G265" s="20" t="s">
        <v>1287</v>
      </c>
      <c r="H265" s="20" t="s">
        <v>1292</v>
      </c>
      <c r="I265" s="20" t="s">
        <v>205</v>
      </c>
      <c r="J265" s="20"/>
      <c r="K265" s="21" t="str">
        <f aca="false">IF(OR(G265="",H265="",I265=""),"",G265&amp;H265&amp;I265&amp;J265)</f>
        <v>EMPR205</v>
      </c>
      <c r="L265" s="18" t="s">
        <v>1335</v>
      </c>
      <c r="M265" s="18" t="s">
        <v>1336</v>
      </c>
      <c r="N265" s="22" t="s">
        <v>6</v>
      </c>
      <c r="O265" s="17" t="str">
        <f aca="false">IF(K265="","",IF(COUNTIF($K$5:$K$327,K265)&gt;1,"DUPLICADO","Único"))</f>
        <v>Único</v>
      </c>
      <c r="P265" s="18" t="s">
        <v>1294</v>
      </c>
      <c r="Q265" s="18"/>
      <c r="R265" s="17"/>
    </row>
    <row r="266" customFormat="false" ht="23.85" hidden="false" customHeight="false" outlineLevel="0" collapsed="false">
      <c r="A266" s="17" t="s">
        <v>1287</v>
      </c>
      <c r="B266" s="17" t="s">
        <v>1288</v>
      </c>
      <c r="C266" s="17" t="s">
        <v>1337</v>
      </c>
      <c r="D266" s="18" t="s">
        <v>1338</v>
      </c>
      <c r="E266" s="17" t="s">
        <v>1291</v>
      </c>
      <c r="F266" s="19" t="n">
        <v>2131</v>
      </c>
      <c r="G266" s="20" t="s">
        <v>1287</v>
      </c>
      <c r="H266" s="20" t="s">
        <v>1292</v>
      </c>
      <c r="I266" s="20" t="s">
        <v>115</v>
      </c>
      <c r="J266" s="20"/>
      <c r="K266" s="21" t="str">
        <f aca="false">IF(OR(G266="",H266="",I266=""),"",G266&amp;H266&amp;I266&amp;J266)</f>
        <v>EMPR206</v>
      </c>
      <c r="L266" s="18" t="s">
        <v>1338</v>
      </c>
      <c r="M266" s="18" t="s">
        <v>1339</v>
      </c>
      <c r="N266" s="22" t="s">
        <v>6</v>
      </c>
      <c r="O266" s="17" t="str">
        <f aca="false">IF(K266="","",IF(COUNTIF($K$5:$K$327,K266)&gt;1,"DUPLICADO","Único"))</f>
        <v>Único</v>
      </c>
      <c r="P266" s="18" t="s">
        <v>1294</v>
      </c>
      <c r="Q266" s="18"/>
      <c r="R266" s="17"/>
    </row>
    <row r="267" customFormat="false" ht="23.85" hidden="false" customHeight="false" outlineLevel="0" collapsed="false">
      <c r="A267" s="17" t="s">
        <v>1287</v>
      </c>
      <c r="B267" s="17" t="s">
        <v>1288</v>
      </c>
      <c r="C267" s="17" t="s">
        <v>1340</v>
      </c>
      <c r="D267" s="18" t="s">
        <v>1341</v>
      </c>
      <c r="E267" s="17" t="s">
        <v>1291</v>
      </c>
      <c r="F267" s="19" t="n">
        <v>2404</v>
      </c>
      <c r="G267" s="20" t="s">
        <v>1287</v>
      </c>
      <c r="H267" s="20" t="s">
        <v>1292</v>
      </c>
      <c r="I267" s="20" t="s">
        <v>174</v>
      </c>
      <c r="J267" s="20"/>
      <c r="K267" s="21" t="str">
        <f aca="false">IF(OR(G267="",H267="",I267=""),"",G267&amp;H267&amp;I267&amp;J267)</f>
        <v>EMPR207</v>
      </c>
      <c r="L267" s="18" t="s">
        <v>1341</v>
      </c>
      <c r="M267" s="18" t="s">
        <v>1342</v>
      </c>
      <c r="N267" s="22" t="s">
        <v>6</v>
      </c>
      <c r="O267" s="17" t="str">
        <f aca="false">IF(K267="","",IF(COUNTIF($K$5:$K$327,K267)&gt;1,"DUPLICADO","Único"))</f>
        <v>Único</v>
      </c>
      <c r="P267" s="18" t="s">
        <v>1294</v>
      </c>
      <c r="Q267" s="18"/>
      <c r="R267" s="17"/>
    </row>
    <row r="268" customFormat="false" ht="23.85" hidden="false" customHeight="false" outlineLevel="0" collapsed="false">
      <c r="A268" s="17" t="s">
        <v>1287</v>
      </c>
      <c r="B268" s="17" t="s">
        <v>1288</v>
      </c>
      <c r="C268" s="17" t="s">
        <v>1343</v>
      </c>
      <c r="D268" s="18" t="s">
        <v>1344</v>
      </c>
      <c r="E268" s="17" t="s">
        <v>1291</v>
      </c>
      <c r="F268" s="19" t="n">
        <v>3498</v>
      </c>
      <c r="G268" s="20" t="s">
        <v>1287</v>
      </c>
      <c r="H268" s="20" t="s">
        <v>1292</v>
      </c>
      <c r="I268" s="20" t="s">
        <v>1345</v>
      </c>
      <c r="J268" s="20"/>
      <c r="K268" s="21" t="str">
        <f aca="false">IF(OR(G268="",H268="",I268=""),"",G268&amp;H268&amp;I268&amp;J268)</f>
        <v>EMPR208</v>
      </c>
      <c r="L268" s="18" t="s">
        <v>1344</v>
      </c>
      <c r="M268" s="18" t="s">
        <v>1346</v>
      </c>
      <c r="N268" s="22" t="s">
        <v>6</v>
      </c>
      <c r="O268" s="17" t="str">
        <f aca="false">IF(K268="","",IF(COUNTIF($K$5:$K$327,K268)&gt;1,"DUPLICADO","Único"))</f>
        <v>Único</v>
      </c>
      <c r="P268" s="18" t="s">
        <v>1294</v>
      </c>
      <c r="Q268" s="18"/>
      <c r="R268" s="17"/>
    </row>
    <row r="269" customFormat="false" ht="23.85" hidden="false" customHeight="false" outlineLevel="0" collapsed="false">
      <c r="A269" s="17" t="s">
        <v>1287</v>
      </c>
      <c r="B269" s="17" t="s">
        <v>1288</v>
      </c>
      <c r="C269" s="17" t="s">
        <v>1347</v>
      </c>
      <c r="D269" s="18" t="s">
        <v>1348</v>
      </c>
      <c r="E269" s="17" t="s">
        <v>172</v>
      </c>
      <c r="F269" s="19" t="n">
        <v>150</v>
      </c>
      <c r="G269" s="20" t="s">
        <v>1287</v>
      </c>
      <c r="H269" s="20" t="s">
        <v>1292</v>
      </c>
      <c r="I269" s="20" t="s">
        <v>1349</v>
      </c>
      <c r="J269" s="20"/>
      <c r="K269" s="21" t="str">
        <f aca="false">IF(OR(G269="",H269="",I269=""),"",G269&amp;H269&amp;I269&amp;J269)</f>
        <v>EMPR209</v>
      </c>
      <c r="L269" s="18" t="s">
        <v>1348</v>
      </c>
      <c r="M269" s="18" t="s">
        <v>1350</v>
      </c>
      <c r="N269" s="22" t="s">
        <v>6</v>
      </c>
      <c r="O269" s="17" t="str">
        <f aca="false">IF(K269="","",IF(COUNTIF($K$5:$K$327,K269)&gt;1,"DUPLICADO","Único"))</f>
        <v>Único</v>
      </c>
      <c r="P269" s="18" t="s">
        <v>1294</v>
      </c>
      <c r="Q269" s="18"/>
      <c r="R269" s="17"/>
    </row>
    <row r="270" customFormat="false" ht="23.85" hidden="false" customHeight="false" outlineLevel="0" collapsed="false">
      <c r="A270" s="17" t="s">
        <v>1287</v>
      </c>
      <c r="B270" s="17" t="s">
        <v>1288</v>
      </c>
      <c r="C270" s="17" t="s">
        <v>1351</v>
      </c>
      <c r="D270" s="18" t="s">
        <v>1352</v>
      </c>
      <c r="E270" s="17" t="s">
        <v>172</v>
      </c>
      <c r="F270" s="19" t="n">
        <v>150</v>
      </c>
      <c r="G270" s="20" t="s">
        <v>1287</v>
      </c>
      <c r="H270" s="20" t="s">
        <v>1292</v>
      </c>
      <c r="I270" s="20" t="s">
        <v>1353</v>
      </c>
      <c r="J270" s="20"/>
      <c r="K270" s="21" t="str">
        <f aca="false">IF(OR(G270="",H270="",I270=""),"",G270&amp;H270&amp;I270&amp;J270)</f>
        <v>EMPR210</v>
      </c>
      <c r="L270" s="18" t="s">
        <v>1352</v>
      </c>
      <c r="M270" s="18" t="s">
        <v>1354</v>
      </c>
      <c r="N270" s="22" t="s">
        <v>6</v>
      </c>
      <c r="O270" s="17" t="str">
        <f aca="false">IF(K270="","",IF(COUNTIF($K$5:$K$327,K270)&gt;1,"DUPLICADO","Único"))</f>
        <v>Único</v>
      </c>
      <c r="P270" s="18" t="s">
        <v>1294</v>
      </c>
      <c r="Q270" s="18"/>
      <c r="R270" s="17"/>
    </row>
    <row r="271" customFormat="false" ht="23.85" hidden="false" customHeight="false" outlineLevel="0" collapsed="false">
      <c r="A271" s="17" t="s">
        <v>1287</v>
      </c>
      <c r="B271" s="17" t="s">
        <v>1288</v>
      </c>
      <c r="C271" s="17" t="s">
        <v>1355</v>
      </c>
      <c r="D271" s="18" t="s">
        <v>1356</v>
      </c>
      <c r="E271" s="17" t="s">
        <v>172</v>
      </c>
      <c r="F271" s="19" t="n">
        <v>432</v>
      </c>
      <c r="G271" s="20" t="s">
        <v>1287</v>
      </c>
      <c r="H271" s="20" t="s">
        <v>1292</v>
      </c>
      <c r="I271" s="20" t="s">
        <v>1357</v>
      </c>
      <c r="J271" s="20"/>
      <c r="K271" s="21" t="str">
        <f aca="false">IF(OR(G271="",H271="",I271=""),"",G271&amp;H271&amp;I271&amp;J271)</f>
        <v>EMPR211</v>
      </c>
      <c r="L271" s="18" t="s">
        <v>1356</v>
      </c>
      <c r="M271" s="18" t="s">
        <v>1358</v>
      </c>
      <c r="N271" s="22" t="s">
        <v>6</v>
      </c>
      <c r="O271" s="17" t="str">
        <f aca="false">IF(K271="","",IF(COUNTIF($K$5:$K$327,K271)&gt;1,"DUPLICADO","Único"))</f>
        <v>Único</v>
      </c>
      <c r="P271" s="18" t="s">
        <v>1294</v>
      </c>
      <c r="Q271" s="18"/>
      <c r="R271" s="17"/>
    </row>
    <row r="272" customFormat="false" ht="35.05" hidden="false" customHeight="false" outlineLevel="0" collapsed="false">
      <c r="A272" s="17" t="s">
        <v>1287</v>
      </c>
      <c r="B272" s="17" t="s">
        <v>1288</v>
      </c>
      <c r="C272" s="17" t="s">
        <v>1359</v>
      </c>
      <c r="D272" s="18" t="s">
        <v>1360</v>
      </c>
      <c r="E272" s="17" t="s">
        <v>1361</v>
      </c>
      <c r="F272" s="19" t="n">
        <v>0</v>
      </c>
      <c r="G272" s="20" t="s">
        <v>1287</v>
      </c>
      <c r="H272" s="20" t="s">
        <v>1325</v>
      </c>
      <c r="I272" s="20" t="s">
        <v>255</v>
      </c>
      <c r="J272" s="20"/>
      <c r="K272" s="21" t="str">
        <f aca="false">IF(OR(G272="",H272="",I272=""),"",G272&amp;H272&amp;I272&amp;J272)</f>
        <v>EMSE300</v>
      </c>
      <c r="L272" s="18" t="s">
        <v>1360</v>
      </c>
      <c r="M272" s="18" t="s">
        <v>1362</v>
      </c>
      <c r="N272" s="22" t="s">
        <v>6</v>
      </c>
      <c r="O272" s="17" t="str">
        <f aca="false">IF(K272="","",IF(COUNTIF($K$5:$K$327,K272)&gt;1,"DUPLICADO","Único"))</f>
        <v>Único</v>
      </c>
      <c r="P272" s="18" t="s">
        <v>1363</v>
      </c>
      <c r="Q272" s="18" t="s">
        <v>1364</v>
      </c>
      <c r="R272" s="17"/>
    </row>
    <row r="273" customFormat="false" ht="35.05" hidden="false" customHeight="false" outlineLevel="0" collapsed="false">
      <c r="A273" s="17" t="s">
        <v>1287</v>
      </c>
      <c r="B273" s="17" t="s">
        <v>1288</v>
      </c>
      <c r="C273" s="17" t="s">
        <v>1365</v>
      </c>
      <c r="D273" s="18" t="s">
        <v>1366</v>
      </c>
      <c r="E273" s="17" t="s">
        <v>172</v>
      </c>
      <c r="F273" s="19" t="n">
        <v>19</v>
      </c>
      <c r="G273" s="20" t="s">
        <v>1287</v>
      </c>
      <c r="H273" s="20" t="s">
        <v>1325</v>
      </c>
      <c r="I273" s="20" t="s">
        <v>210</v>
      </c>
      <c r="J273" s="20"/>
      <c r="K273" s="21" t="str">
        <f aca="false">IF(OR(G273="",H273="",I273=""),"",G273&amp;H273&amp;I273&amp;J273)</f>
        <v>EMSE301</v>
      </c>
      <c r="L273" s="18" t="s">
        <v>1366</v>
      </c>
      <c r="M273" s="18" t="s">
        <v>1367</v>
      </c>
      <c r="N273" s="22" t="s">
        <v>6</v>
      </c>
      <c r="O273" s="17" t="str">
        <f aca="false">IF(K273="","",IF(COUNTIF($K$5:$K$327,K273)&gt;1,"DUPLICADO","Único"))</f>
        <v>Único</v>
      </c>
      <c r="P273" s="18" t="s">
        <v>1363</v>
      </c>
      <c r="Q273" s="18" t="s">
        <v>1364</v>
      </c>
      <c r="R273" s="17"/>
    </row>
    <row r="274" customFormat="false" ht="23.85" hidden="false" customHeight="false" outlineLevel="0" collapsed="false">
      <c r="A274" s="17" t="s">
        <v>1287</v>
      </c>
      <c r="B274" s="17" t="s">
        <v>1288</v>
      </c>
      <c r="C274" s="17" t="s">
        <v>1368</v>
      </c>
      <c r="D274" s="18" t="s">
        <v>1369</v>
      </c>
      <c r="E274" s="17" t="s">
        <v>172</v>
      </c>
      <c r="F274" s="19" t="n">
        <v>2</v>
      </c>
      <c r="G274" s="20" t="s">
        <v>1287</v>
      </c>
      <c r="H274" s="20" t="s">
        <v>1325</v>
      </c>
      <c r="I274" s="20" t="s">
        <v>474</v>
      </c>
      <c r="J274" s="20" t="s">
        <v>1370</v>
      </c>
      <c r="K274" s="21" t="str">
        <f aca="false">IF(OR(G274="",H274="",I274=""),"",G274&amp;H274&amp;I274&amp;J274)</f>
        <v>EMSE302FC</v>
      </c>
      <c r="L274" s="18" t="s">
        <v>1369</v>
      </c>
      <c r="M274" s="18" t="s">
        <v>1371</v>
      </c>
      <c r="N274" s="22" t="s">
        <v>6</v>
      </c>
      <c r="O274" s="17" t="str">
        <f aca="false">IF(K274="","",IF(COUNTIF($K$5:$K$327,K274)&gt;1,"DUPLICADO","Único"))</f>
        <v>Único</v>
      </c>
      <c r="P274" s="18" t="s">
        <v>1363</v>
      </c>
      <c r="Q274" s="18" t="s">
        <v>1308</v>
      </c>
      <c r="R274" s="17"/>
    </row>
    <row r="275" customFormat="false" ht="35.05" hidden="false" customHeight="false" outlineLevel="0" collapsed="false">
      <c r="A275" s="17" t="s">
        <v>1287</v>
      </c>
      <c r="B275" s="17" t="s">
        <v>1288</v>
      </c>
      <c r="C275" s="17" t="s">
        <v>1372</v>
      </c>
      <c r="D275" s="18" t="s">
        <v>1373</v>
      </c>
      <c r="E275" s="17" t="s">
        <v>301</v>
      </c>
      <c r="F275" s="19" t="n">
        <v>150</v>
      </c>
      <c r="G275" s="20" t="s">
        <v>1287</v>
      </c>
      <c r="H275" s="20" t="s">
        <v>1292</v>
      </c>
      <c r="I275" s="20" t="s">
        <v>502</v>
      </c>
      <c r="J275" s="20"/>
      <c r="K275" s="21" t="str">
        <f aca="false">IF(OR(G275="",H275="",I275=""),"",G275&amp;H275&amp;I275&amp;J275)</f>
        <v>EMPR701</v>
      </c>
      <c r="L275" s="18" t="s">
        <v>1373</v>
      </c>
      <c r="M275" s="18" t="s">
        <v>1374</v>
      </c>
      <c r="N275" s="22" t="s">
        <v>6</v>
      </c>
      <c r="O275" s="17" t="str">
        <f aca="false">IF(K275="","",IF(COUNTIF($K$5:$K$327,K275)&gt;1,"DUPLICADO","Único"))</f>
        <v>Único</v>
      </c>
      <c r="P275" s="18" t="s">
        <v>1322</v>
      </c>
      <c r="Q275" s="18" t="s">
        <v>1308</v>
      </c>
      <c r="R275" s="17"/>
    </row>
    <row r="276" customFormat="false" ht="35.05" hidden="false" customHeight="false" outlineLevel="0" collapsed="false">
      <c r="A276" s="17" t="s">
        <v>1287</v>
      </c>
      <c r="B276" s="17" t="s">
        <v>1288</v>
      </c>
      <c r="C276" s="17" t="s">
        <v>1375</v>
      </c>
      <c r="D276" s="18" t="s">
        <v>1376</v>
      </c>
      <c r="E276" s="17"/>
      <c r="F276" s="19" t="n">
        <v>0.105</v>
      </c>
      <c r="G276" s="20" t="s">
        <v>1287</v>
      </c>
      <c r="H276" s="20" t="s">
        <v>1292</v>
      </c>
      <c r="I276" s="20" t="s">
        <v>729</v>
      </c>
      <c r="J276" s="20"/>
      <c r="K276" s="21" t="str">
        <f aca="false">IF(OR(G276="",H276="",I276=""),"",G276&amp;H276&amp;I276&amp;J276)</f>
        <v>EMPR600</v>
      </c>
      <c r="L276" s="18" t="s">
        <v>1376</v>
      </c>
      <c r="M276" s="18" t="s">
        <v>1377</v>
      </c>
      <c r="N276" s="22" t="s">
        <v>6</v>
      </c>
      <c r="O276" s="17" t="str">
        <f aca="false">IF(K276="","",IF(COUNTIF($K$5:$K$327,K276)&gt;1,"DUPLICADO","Único"))</f>
        <v>Único</v>
      </c>
      <c r="P276" s="18" t="s">
        <v>1378</v>
      </c>
      <c r="Q276" s="18" t="s">
        <v>1308</v>
      </c>
      <c r="R276" s="17"/>
    </row>
    <row r="277" customFormat="false" ht="35.05" hidden="false" customHeight="false" outlineLevel="0" collapsed="false">
      <c r="A277" s="17" t="s">
        <v>1287</v>
      </c>
      <c r="B277" s="17" t="s">
        <v>1288</v>
      </c>
      <c r="C277" s="17" t="s">
        <v>1379</v>
      </c>
      <c r="D277" s="18" t="s">
        <v>1380</v>
      </c>
      <c r="E277" s="17" t="s">
        <v>355</v>
      </c>
      <c r="F277" s="19" t="n">
        <v>0</v>
      </c>
      <c r="G277" s="20" t="s">
        <v>1287</v>
      </c>
      <c r="H277" s="20" t="s">
        <v>1292</v>
      </c>
      <c r="I277" s="20" t="s">
        <v>777</v>
      </c>
      <c r="J277" s="20"/>
      <c r="K277" s="21" t="str">
        <f aca="false">IF(OR(G277="",H277="",I277=""),"",G277&amp;H277&amp;I277&amp;J277)</f>
        <v>EMPR601</v>
      </c>
      <c r="L277" s="18" t="s">
        <v>1380</v>
      </c>
      <c r="M277" s="18" t="s">
        <v>1381</v>
      </c>
      <c r="N277" s="22" t="s">
        <v>6</v>
      </c>
      <c r="O277" s="17" t="str">
        <f aca="false">IF(K277="","",IF(COUNTIF($K$5:$K$327,K277)&gt;1,"DUPLICADO","Único"))</f>
        <v>Único</v>
      </c>
      <c r="P277" s="18" t="s">
        <v>1378</v>
      </c>
      <c r="Q277" s="18" t="s">
        <v>1308</v>
      </c>
      <c r="R277" s="17"/>
    </row>
    <row r="278" customFormat="false" ht="35.05" hidden="false" customHeight="false" outlineLevel="0" collapsed="false">
      <c r="A278" s="17" t="s">
        <v>1287</v>
      </c>
      <c r="B278" s="17" t="s">
        <v>1288</v>
      </c>
      <c r="C278" s="17" t="s">
        <v>1382</v>
      </c>
      <c r="D278" s="18" t="s">
        <v>1383</v>
      </c>
      <c r="E278" s="17" t="s">
        <v>355</v>
      </c>
      <c r="F278" s="19" t="n">
        <v>0</v>
      </c>
      <c r="G278" s="20" t="s">
        <v>1287</v>
      </c>
      <c r="H278" s="20" t="s">
        <v>1292</v>
      </c>
      <c r="I278" s="20" t="s">
        <v>1384</v>
      </c>
      <c r="J278" s="20"/>
      <c r="K278" s="21" t="str">
        <f aca="false">IF(OR(G278="",H278="",I278=""),"",G278&amp;H278&amp;I278&amp;J278)</f>
        <v>EMPR602</v>
      </c>
      <c r="L278" s="18" t="s">
        <v>1383</v>
      </c>
      <c r="M278" s="18" t="s">
        <v>1385</v>
      </c>
      <c r="N278" s="22" t="s">
        <v>6</v>
      </c>
      <c r="O278" s="17" t="str">
        <f aca="false">IF(K278="","",IF(COUNTIF($K$5:$K$327,K278)&gt;1,"DUPLICADO","Único"))</f>
        <v>Único</v>
      </c>
      <c r="P278" s="18" t="s">
        <v>1378</v>
      </c>
      <c r="Q278" s="18" t="s">
        <v>1308</v>
      </c>
      <c r="R278" s="17"/>
    </row>
    <row r="279" customFormat="false" ht="23.85" hidden="false" customHeight="false" outlineLevel="0" collapsed="false">
      <c r="A279" s="17" t="s">
        <v>1287</v>
      </c>
      <c r="B279" s="17" t="s">
        <v>1288</v>
      </c>
      <c r="C279" s="17" t="s">
        <v>1386</v>
      </c>
      <c r="D279" s="18" t="s">
        <v>1387</v>
      </c>
      <c r="E279" s="17" t="s">
        <v>301</v>
      </c>
      <c r="F279" s="19" t="n">
        <v>0</v>
      </c>
      <c r="G279" s="20" t="s">
        <v>1287</v>
      </c>
      <c r="H279" s="20" t="s">
        <v>1292</v>
      </c>
      <c r="I279" s="20" t="s">
        <v>1388</v>
      </c>
      <c r="J279" s="20"/>
      <c r="K279" s="21" t="str">
        <f aca="false">IF(OR(G279="",H279="",I279=""),"",G279&amp;H279&amp;I279&amp;J279)</f>
        <v>EMPR505</v>
      </c>
      <c r="L279" s="18" t="s">
        <v>1387</v>
      </c>
      <c r="M279" s="18" t="s">
        <v>1389</v>
      </c>
      <c r="N279" s="22" t="s">
        <v>6</v>
      </c>
      <c r="O279" s="17" t="str">
        <f aca="false">IF(K279="","",IF(COUNTIF($K$5:$K$327,K279)&gt;1,"DUPLICADO","Único"))</f>
        <v>Único</v>
      </c>
      <c r="P279" s="18" t="s">
        <v>1307</v>
      </c>
      <c r="Q279" s="18" t="s">
        <v>1308</v>
      </c>
      <c r="R279" s="17"/>
    </row>
    <row r="280" customFormat="false" ht="23.85" hidden="false" customHeight="false" outlineLevel="0" collapsed="false">
      <c r="A280" s="17" t="s">
        <v>1287</v>
      </c>
      <c r="B280" s="17" t="s">
        <v>1288</v>
      </c>
      <c r="C280" s="17" t="s">
        <v>1390</v>
      </c>
      <c r="D280" s="18" t="s">
        <v>1391</v>
      </c>
      <c r="E280" s="17" t="s">
        <v>172</v>
      </c>
      <c r="F280" s="19" t="n">
        <v>3302</v>
      </c>
      <c r="G280" s="20" t="s">
        <v>1287</v>
      </c>
      <c r="H280" s="20" t="s">
        <v>1292</v>
      </c>
      <c r="I280" s="20" t="s">
        <v>1392</v>
      </c>
      <c r="J280" s="20"/>
      <c r="K280" s="21" t="str">
        <f aca="false">IF(OR(G280="",H280="",I280=""),"",G280&amp;H280&amp;I280&amp;J280)</f>
        <v>EMPR506</v>
      </c>
      <c r="L280" s="18" t="s">
        <v>1391</v>
      </c>
      <c r="M280" s="18" t="s">
        <v>1393</v>
      </c>
      <c r="N280" s="22" t="s">
        <v>6</v>
      </c>
      <c r="O280" s="17" t="str">
        <f aca="false">IF(K280="","",IF(COUNTIF($K$5:$K$327,K280)&gt;1,"DUPLICADO","Único"))</f>
        <v>Único</v>
      </c>
      <c r="P280" s="18" t="s">
        <v>1307</v>
      </c>
      <c r="Q280" s="18" t="s">
        <v>1308</v>
      </c>
      <c r="R280" s="17"/>
    </row>
    <row r="281" customFormat="false" ht="23.85" hidden="false" customHeight="false" outlineLevel="0" collapsed="false">
      <c r="A281" s="17" t="s">
        <v>1287</v>
      </c>
      <c r="B281" s="17" t="s">
        <v>1288</v>
      </c>
      <c r="C281" s="17" t="s">
        <v>1394</v>
      </c>
      <c r="D281" s="18" t="s">
        <v>1395</v>
      </c>
      <c r="E281" s="17" t="s">
        <v>172</v>
      </c>
      <c r="F281" s="19" t="n">
        <v>3247</v>
      </c>
      <c r="G281" s="20" t="s">
        <v>1287</v>
      </c>
      <c r="H281" s="20" t="s">
        <v>1292</v>
      </c>
      <c r="I281" s="20" t="s">
        <v>1396</v>
      </c>
      <c r="J281" s="20"/>
      <c r="K281" s="21" t="str">
        <f aca="false">IF(OR(G281="",H281="",I281=""),"",G281&amp;H281&amp;I281&amp;J281)</f>
        <v>EMPR507</v>
      </c>
      <c r="L281" s="18" t="s">
        <v>1395</v>
      </c>
      <c r="M281" s="18" t="s">
        <v>1397</v>
      </c>
      <c r="N281" s="22" t="s">
        <v>6</v>
      </c>
      <c r="O281" s="17" t="str">
        <f aca="false">IF(K281="","",IF(COUNTIF($K$5:$K$327,K281)&gt;1,"DUPLICADO","Único"))</f>
        <v>Único</v>
      </c>
      <c r="P281" s="18" t="s">
        <v>1307</v>
      </c>
      <c r="Q281" s="18" t="s">
        <v>1308</v>
      </c>
      <c r="R281" s="17"/>
    </row>
    <row r="282" customFormat="false" ht="23.85" hidden="false" customHeight="false" outlineLevel="0" collapsed="false">
      <c r="A282" s="17" t="s">
        <v>1287</v>
      </c>
      <c r="B282" s="17" t="s">
        <v>1288</v>
      </c>
      <c r="C282" s="17" t="s">
        <v>1398</v>
      </c>
      <c r="D282" s="18" t="s">
        <v>1399</v>
      </c>
      <c r="E282" s="17" t="s">
        <v>172</v>
      </c>
      <c r="F282" s="19" t="n">
        <v>2689</v>
      </c>
      <c r="G282" s="20" t="s">
        <v>1287</v>
      </c>
      <c r="H282" s="20" t="s">
        <v>1292</v>
      </c>
      <c r="I282" s="20" t="s">
        <v>1400</v>
      </c>
      <c r="J282" s="20"/>
      <c r="K282" s="21" t="str">
        <f aca="false">IF(OR(G282="",H282="",I282=""),"",G282&amp;H282&amp;I282&amp;J282)</f>
        <v>EMPR508</v>
      </c>
      <c r="L282" s="18" t="s">
        <v>1399</v>
      </c>
      <c r="M282" s="18" t="s">
        <v>1401</v>
      </c>
      <c r="N282" s="22" t="s">
        <v>6</v>
      </c>
      <c r="O282" s="17" t="str">
        <f aca="false">IF(K282="","",IF(COUNTIF($K$5:$K$327,K282)&gt;1,"DUPLICADO","Único"))</f>
        <v>Único</v>
      </c>
      <c r="P282" s="18" t="s">
        <v>1307</v>
      </c>
      <c r="Q282" s="18" t="s">
        <v>1308</v>
      </c>
      <c r="R282" s="17"/>
    </row>
    <row r="283" customFormat="false" ht="23.85" hidden="false" customHeight="false" outlineLevel="0" collapsed="false">
      <c r="A283" s="17" t="s">
        <v>1287</v>
      </c>
      <c r="B283" s="17" t="s">
        <v>1288</v>
      </c>
      <c r="C283" s="17" t="s">
        <v>1402</v>
      </c>
      <c r="D283" s="18" t="s">
        <v>1403</v>
      </c>
      <c r="E283" s="17" t="s">
        <v>172</v>
      </c>
      <c r="F283" s="19" t="n">
        <v>3714</v>
      </c>
      <c r="G283" s="20" t="s">
        <v>1287</v>
      </c>
      <c r="H283" s="20" t="s">
        <v>1292</v>
      </c>
      <c r="I283" s="20" t="s">
        <v>1404</v>
      </c>
      <c r="J283" s="20"/>
      <c r="K283" s="21" t="str">
        <f aca="false">IF(OR(G283="",H283="",I283=""),"",G283&amp;H283&amp;I283&amp;J283)</f>
        <v>EMPR509</v>
      </c>
      <c r="L283" s="18" t="s">
        <v>1403</v>
      </c>
      <c r="M283" s="18" t="s">
        <v>1405</v>
      </c>
      <c r="N283" s="22" t="s">
        <v>6</v>
      </c>
      <c r="O283" s="17" t="str">
        <f aca="false">IF(K283="","",IF(COUNTIF($K$5:$K$327,K283)&gt;1,"DUPLICADO","Único"))</f>
        <v>Único</v>
      </c>
      <c r="P283" s="18" t="s">
        <v>1307</v>
      </c>
      <c r="Q283" s="18" t="s">
        <v>1308</v>
      </c>
      <c r="R283" s="17"/>
    </row>
    <row r="284" customFormat="false" ht="23.85" hidden="false" customHeight="false" outlineLevel="0" collapsed="false">
      <c r="A284" s="17" t="s">
        <v>1287</v>
      </c>
      <c r="B284" s="17" t="s">
        <v>1288</v>
      </c>
      <c r="C284" s="17" t="s">
        <v>1406</v>
      </c>
      <c r="D284" s="18" t="s">
        <v>1407</v>
      </c>
      <c r="E284" s="17" t="s">
        <v>172</v>
      </c>
      <c r="F284" s="19" t="n">
        <v>2964</v>
      </c>
      <c r="G284" s="20" t="s">
        <v>1287</v>
      </c>
      <c r="H284" s="20" t="s">
        <v>1292</v>
      </c>
      <c r="I284" s="20" t="s">
        <v>1408</v>
      </c>
      <c r="J284" s="20"/>
      <c r="K284" s="21" t="str">
        <f aca="false">IF(OR(G284="",H284="",I284=""),"",G284&amp;H284&amp;I284&amp;J284)</f>
        <v>EMPR510</v>
      </c>
      <c r="L284" s="18" t="s">
        <v>1407</v>
      </c>
      <c r="M284" s="18" t="s">
        <v>1409</v>
      </c>
      <c r="N284" s="22" t="s">
        <v>6</v>
      </c>
      <c r="O284" s="17" t="str">
        <f aca="false">IF(K284="","",IF(COUNTIF($K$5:$K$327,K284)&gt;1,"DUPLICADO","Único"))</f>
        <v>Único</v>
      </c>
      <c r="P284" s="18" t="s">
        <v>1307</v>
      </c>
      <c r="Q284" s="18" t="s">
        <v>1308</v>
      </c>
      <c r="R284" s="17"/>
    </row>
    <row r="285" customFormat="false" ht="23.85" hidden="false" customHeight="false" outlineLevel="0" collapsed="false">
      <c r="A285" s="17" t="s">
        <v>1287</v>
      </c>
      <c r="B285" s="17" t="s">
        <v>1288</v>
      </c>
      <c r="C285" s="17" t="s">
        <v>1410</v>
      </c>
      <c r="D285" s="18" t="s">
        <v>1411</v>
      </c>
      <c r="E285" s="17" t="s">
        <v>1361</v>
      </c>
      <c r="F285" s="19" t="n">
        <v>0</v>
      </c>
      <c r="G285" s="20" t="s">
        <v>1287</v>
      </c>
      <c r="H285" s="20" t="s">
        <v>1325</v>
      </c>
      <c r="I285" s="20" t="s">
        <v>108</v>
      </c>
      <c r="J285" s="20"/>
      <c r="K285" s="21" t="str">
        <f aca="false">IF(OR(G285="",H285="",I285=""),"",G285&amp;H285&amp;I285&amp;J285)</f>
        <v>EMSE200</v>
      </c>
      <c r="L285" s="18" t="s">
        <v>1411</v>
      </c>
      <c r="M285" s="18" t="s">
        <v>1412</v>
      </c>
      <c r="N285" s="22" t="s">
        <v>6</v>
      </c>
      <c r="O285" s="17" t="str">
        <f aca="false">IF(K285="","",IF(COUNTIF($K$5:$K$327,K285)&gt;1,"DUPLICADO","Único"))</f>
        <v>Único</v>
      </c>
      <c r="P285" s="18" t="s">
        <v>1413</v>
      </c>
      <c r="Q285" s="18"/>
      <c r="R285" s="17"/>
    </row>
    <row r="286" customFormat="false" ht="23.85" hidden="false" customHeight="false" outlineLevel="0" collapsed="false">
      <c r="A286" s="17" t="s">
        <v>1287</v>
      </c>
      <c r="B286" s="17" t="s">
        <v>1288</v>
      </c>
      <c r="C286" s="17" t="s">
        <v>1414</v>
      </c>
      <c r="D286" s="18" t="s">
        <v>1415</v>
      </c>
      <c r="E286" s="17" t="s">
        <v>172</v>
      </c>
      <c r="F286" s="19" t="n">
        <v>456</v>
      </c>
      <c r="G286" s="20" t="s">
        <v>1287</v>
      </c>
      <c r="H286" s="20" t="s">
        <v>1292</v>
      </c>
      <c r="I286" s="20" t="s">
        <v>1416</v>
      </c>
      <c r="J286" s="20"/>
      <c r="K286" s="21" t="str">
        <f aca="false">IF(OR(G286="",H286="",I286=""),"",G286&amp;H286&amp;I286&amp;J286)</f>
        <v>EMPR212</v>
      </c>
      <c r="L286" s="18" t="s">
        <v>1415</v>
      </c>
      <c r="M286" s="18" t="s">
        <v>1417</v>
      </c>
      <c r="N286" s="22" t="s">
        <v>6</v>
      </c>
      <c r="O286" s="17" t="str">
        <f aca="false">IF(K286="","",IF(COUNTIF($K$5:$K$327,K286)&gt;1,"DUPLICADO","Único"))</f>
        <v>Único</v>
      </c>
      <c r="P286" s="18" t="s">
        <v>1294</v>
      </c>
      <c r="Q286" s="18"/>
      <c r="R286" s="17"/>
    </row>
    <row r="287" customFormat="false" ht="35.05" hidden="false" customHeight="false" outlineLevel="0" collapsed="false">
      <c r="A287" s="17" t="s">
        <v>1287</v>
      </c>
      <c r="B287" s="17" t="s">
        <v>1288</v>
      </c>
      <c r="C287" s="17" t="s">
        <v>1418</v>
      </c>
      <c r="D287" s="18" t="s">
        <v>1419</v>
      </c>
      <c r="E287" s="17" t="s">
        <v>172</v>
      </c>
      <c r="F287" s="19" t="n">
        <v>0</v>
      </c>
      <c r="G287" s="20" t="s">
        <v>1287</v>
      </c>
      <c r="H287" s="20" t="s">
        <v>1292</v>
      </c>
      <c r="I287" s="20" t="s">
        <v>1420</v>
      </c>
      <c r="J287" s="20"/>
      <c r="K287" s="21" t="str">
        <f aca="false">IF(OR(G287="",H287="",I287=""),"",G287&amp;H287&amp;I287&amp;J287)</f>
        <v>EMPR603</v>
      </c>
      <c r="L287" s="18" t="s">
        <v>1419</v>
      </c>
      <c r="M287" s="18" t="s">
        <v>1421</v>
      </c>
      <c r="N287" s="22" t="s">
        <v>6</v>
      </c>
      <c r="O287" s="17" t="str">
        <f aca="false">IF(K287="","",IF(COUNTIF($K$5:$K$327,K287)&gt;1,"DUPLICADO","Único"))</f>
        <v>Único</v>
      </c>
      <c r="P287" s="18" t="s">
        <v>1378</v>
      </c>
      <c r="Q287" s="18" t="s">
        <v>1308</v>
      </c>
      <c r="R287" s="17"/>
    </row>
    <row r="288" customFormat="false" ht="23.85" hidden="false" customHeight="false" outlineLevel="0" collapsed="false">
      <c r="A288" s="17" t="s">
        <v>1287</v>
      </c>
      <c r="B288" s="17" t="s">
        <v>1422</v>
      </c>
      <c r="C288" s="17" t="s">
        <v>1423</v>
      </c>
      <c r="D288" s="18" t="s">
        <v>1424</v>
      </c>
      <c r="E288" s="17" t="s">
        <v>172</v>
      </c>
      <c r="F288" s="19" t="n">
        <v>1650</v>
      </c>
      <c r="G288" s="20" t="s">
        <v>1287</v>
      </c>
      <c r="H288" s="20" t="s">
        <v>1292</v>
      </c>
      <c r="I288" s="20" t="s">
        <v>220</v>
      </c>
      <c r="J288" s="20"/>
      <c r="K288" s="21" t="str">
        <f aca="false">IF(OR(G288="",H288="",I288=""),"",G288&amp;H288&amp;I288&amp;J288)</f>
        <v>EMPR100</v>
      </c>
      <c r="L288" s="18" t="s">
        <v>1424</v>
      </c>
      <c r="M288" s="18" t="s">
        <v>1425</v>
      </c>
      <c r="N288" s="22" t="s">
        <v>6</v>
      </c>
      <c r="O288" s="17" t="str">
        <f aca="false">IF(K288="","",IF(COUNTIF($K$5:$K$327,K288)&gt;1,"DUPLICADO","Único"))</f>
        <v>Único</v>
      </c>
      <c r="P288" s="18" t="s">
        <v>1327</v>
      </c>
      <c r="Q288" s="18" t="s">
        <v>1426</v>
      </c>
      <c r="R288" s="17"/>
    </row>
    <row r="289" customFormat="false" ht="23.85" hidden="false" customHeight="false" outlineLevel="0" collapsed="false">
      <c r="A289" s="17" t="s">
        <v>1287</v>
      </c>
      <c r="B289" s="17" t="s">
        <v>1422</v>
      </c>
      <c r="C289" s="17" t="s">
        <v>1427</v>
      </c>
      <c r="D289" s="18" t="s">
        <v>1428</v>
      </c>
      <c r="E289" s="17"/>
      <c r="F289" s="19" t="n">
        <v>0</v>
      </c>
      <c r="G289" s="20" t="s">
        <v>1287</v>
      </c>
      <c r="H289" s="20" t="s">
        <v>1292</v>
      </c>
      <c r="I289" s="20" t="s">
        <v>225</v>
      </c>
      <c r="J289" s="20"/>
      <c r="K289" s="21" t="str">
        <f aca="false">IF(OR(G289="",H289="",I289=""),"",G289&amp;H289&amp;I289&amp;J289)</f>
        <v>EMPR101</v>
      </c>
      <c r="L289" s="18" t="s">
        <v>1428</v>
      </c>
      <c r="M289" s="18" t="s">
        <v>1429</v>
      </c>
      <c r="N289" s="22" t="s">
        <v>6</v>
      </c>
      <c r="O289" s="17" t="str">
        <f aca="false">IF(K289="","",IF(COUNTIF($K$5:$K$327,K289)&gt;1,"DUPLICADO","Único"))</f>
        <v>Único</v>
      </c>
      <c r="P289" s="18" t="s">
        <v>1327</v>
      </c>
      <c r="Q289" s="18" t="s">
        <v>1426</v>
      </c>
      <c r="R289" s="17"/>
    </row>
    <row r="290" customFormat="false" ht="23.85" hidden="false" customHeight="false" outlineLevel="0" collapsed="false">
      <c r="A290" s="17" t="s">
        <v>1287</v>
      </c>
      <c r="B290" s="17" t="s">
        <v>1422</v>
      </c>
      <c r="C290" s="17" t="s">
        <v>1430</v>
      </c>
      <c r="D290" s="18" t="s">
        <v>1431</v>
      </c>
      <c r="E290" s="17"/>
      <c r="F290" s="19" t="n">
        <v>0</v>
      </c>
      <c r="G290" s="20" t="s">
        <v>1287</v>
      </c>
      <c r="H290" s="20" t="s">
        <v>1292</v>
      </c>
      <c r="I290" s="20" t="s">
        <v>56</v>
      </c>
      <c r="J290" s="20"/>
      <c r="K290" s="21" t="str">
        <f aca="false">IF(OR(G290="",H290="",I290=""),"",G290&amp;H290&amp;I290&amp;J290)</f>
        <v>EMPR102</v>
      </c>
      <c r="L290" s="18" t="s">
        <v>1431</v>
      </c>
      <c r="M290" s="18" t="s">
        <v>1432</v>
      </c>
      <c r="N290" s="22" t="s">
        <v>6</v>
      </c>
      <c r="O290" s="17" t="str">
        <f aca="false">IF(K290="","",IF(COUNTIF($K$5:$K$327,K290)&gt;1,"DUPLICADO","Único"))</f>
        <v>Único</v>
      </c>
      <c r="P290" s="18" t="s">
        <v>1327</v>
      </c>
      <c r="Q290" s="18" t="s">
        <v>1426</v>
      </c>
      <c r="R290" s="17"/>
    </row>
    <row r="291" customFormat="false" ht="23.85" hidden="false" customHeight="false" outlineLevel="0" collapsed="false">
      <c r="A291" s="17" t="s">
        <v>1287</v>
      </c>
      <c r="B291" s="17" t="s">
        <v>1422</v>
      </c>
      <c r="C291" s="17" t="s">
        <v>1433</v>
      </c>
      <c r="D291" s="18" t="s">
        <v>1434</v>
      </c>
      <c r="E291" s="17" t="s">
        <v>172</v>
      </c>
      <c r="F291" s="19" t="n">
        <v>15000</v>
      </c>
      <c r="G291" s="20" t="s">
        <v>1287</v>
      </c>
      <c r="H291" s="20" t="s">
        <v>1292</v>
      </c>
      <c r="I291" s="20" t="s">
        <v>241</v>
      </c>
      <c r="J291" s="20"/>
      <c r="K291" s="21" t="str">
        <f aca="false">IF(OR(G291="",H291="",I291=""),"",G291&amp;H291&amp;I291&amp;J291)</f>
        <v>EMPR400</v>
      </c>
      <c r="L291" s="18" t="s">
        <v>1434</v>
      </c>
      <c r="M291" s="18" t="s">
        <v>1435</v>
      </c>
      <c r="N291" s="22" t="s">
        <v>6</v>
      </c>
      <c r="O291" s="17" t="str">
        <f aca="false">IF(K291="","",IF(COUNTIF($K$5:$K$327,K291)&gt;1,"DUPLICADO","Único"))</f>
        <v>Único</v>
      </c>
      <c r="P291" s="18" t="s">
        <v>1436</v>
      </c>
      <c r="Q291" s="18" t="s">
        <v>1426</v>
      </c>
      <c r="R291" s="17"/>
    </row>
    <row r="292" customFormat="false" ht="23.85" hidden="false" customHeight="false" outlineLevel="0" collapsed="false">
      <c r="A292" s="17" t="s">
        <v>1287</v>
      </c>
      <c r="B292" s="17" t="s">
        <v>1422</v>
      </c>
      <c r="C292" s="17" t="s">
        <v>1437</v>
      </c>
      <c r="D292" s="18" t="s">
        <v>1438</v>
      </c>
      <c r="E292" s="17" t="s">
        <v>172</v>
      </c>
      <c r="F292" s="19" t="n">
        <v>14000</v>
      </c>
      <c r="G292" s="20" t="s">
        <v>1287</v>
      </c>
      <c r="H292" s="20" t="s">
        <v>1292</v>
      </c>
      <c r="I292" s="20" t="s">
        <v>246</v>
      </c>
      <c r="J292" s="20"/>
      <c r="K292" s="21" t="str">
        <f aca="false">IF(OR(G292="",H292="",I292=""),"",G292&amp;H292&amp;I292&amp;J292)</f>
        <v>EMPR401</v>
      </c>
      <c r="L292" s="18" t="s">
        <v>1438</v>
      </c>
      <c r="M292" s="18" t="s">
        <v>1439</v>
      </c>
      <c r="N292" s="22" t="s">
        <v>6</v>
      </c>
      <c r="O292" s="17" t="str">
        <f aca="false">IF(K292="","",IF(COUNTIF($K$5:$K$327,K292)&gt;1,"DUPLICADO","Único"))</f>
        <v>Único</v>
      </c>
      <c r="P292" s="18" t="s">
        <v>1436</v>
      </c>
      <c r="Q292" s="18" t="s">
        <v>1426</v>
      </c>
      <c r="R292" s="17"/>
    </row>
    <row r="293" customFormat="false" ht="35.05" hidden="false" customHeight="false" outlineLevel="0" collapsed="false">
      <c r="A293" s="17" t="s">
        <v>1287</v>
      </c>
      <c r="B293" s="17" t="s">
        <v>1422</v>
      </c>
      <c r="C293" s="17" t="s">
        <v>1440</v>
      </c>
      <c r="D293" s="18" t="s">
        <v>1441</v>
      </c>
      <c r="E293" s="17" t="s">
        <v>301</v>
      </c>
      <c r="F293" s="19" t="n">
        <v>0</v>
      </c>
      <c r="G293" s="20" t="s">
        <v>1287</v>
      </c>
      <c r="H293" s="20" t="s">
        <v>1292</v>
      </c>
      <c r="I293" s="20" t="s">
        <v>530</v>
      </c>
      <c r="J293" s="20"/>
      <c r="K293" s="21" t="str">
        <f aca="false">IF(OR(G293="",H293="",I293=""),"",G293&amp;H293&amp;I293&amp;J293)</f>
        <v>EMPR500</v>
      </c>
      <c r="L293" s="18" t="s">
        <v>1441</v>
      </c>
      <c r="M293" s="18" t="s">
        <v>1442</v>
      </c>
      <c r="N293" s="22" t="s">
        <v>6</v>
      </c>
      <c r="O293" s="17" t="str">
        <f aca="false">IF(K293="","",IF(COUNTIF($K$5:$K$327,K293)&gt;1,"DUPLICADO","Único"))</f>
        <v>Único</v>
      </c>
      <c r="P293" s="18" t="s">
        <v>1307</v>
      </c>
      <c r="Q293" s="18" t="s">
        <v>1443</v>
      </c>
      <c r="R293" s="17"/>
    </row>
    <row r="294" customFormat="false" ht="23.85" hidden="false" customHeight="false" outlineLevel="0" collapsed="false">
      <c r="A294" s="17" t="s">
        <v>1287</v>
      </c>
      <c r="B294" s="17" t="s">
        <v>1422</v>
      </c>
      <c r="C294" s="17" t="s">
        <v>1444</v>
      </c>
      <c r="D294" s="18" t="s">
        <v>1445</v>
      </c>
      <c r="E294" s="17" t="s">
        <v>172</v>
      </c>
      <c r="F294" s="19" t="n">
        <v>30</v>
      </c>
      <c r="G294" s="20" t="s">
        <v>1287</v>
      </c>
      <c r="H294" s="20" t="s">
        <v>1292</v>
      </c>
      <c r="I294" s="20" t="s">
        <v>264</v>
      </c>
      <c r="J294" s="20"/>
      <c r="K294" s="21" t="str">
        <f aca="false">IF(OR(G294="",H294="",I294=""),"",G294&amp;H294&amp;I294&amp;J294)</f>
        <v>EMPR402</v>
      </c>
      <c r="L294" s="18" t="s">
        <v>1445</v>
      </c>
      <c r="M294" s="18" t="s">
        <v>1446</v>
      </c>
      <c r="N294" s="22" t="s">
        <v>6</v>
      </c>
      <c r="O294" s="17" t="str">
        <f aca="false">IF(K294="","",IF(COUNTIF($K$5:$K$327,K294)&gt;1,"DUPLICADO","Único"))</f>
        <v>Único</v>
      </c>
      <c r="P294" s="18" t="s">
        <v>1436</v>
      </c>
      <c r="Q294" s="18" t="s">
        <v>1426</v>
      </c>
      <c r="R294" s="17"/>
    </row>
    <row r="295" customFormat="false" ht="23.85" hidden="false" customHeight="false" outlineLevel="0" collapsed="false">
      <c r="A295" s="17" t="s">
        <v>1287</v>
      </c>
      <c r="B295" s="17" t="s">
        <v>1422</v>
      </c>
      <c r="C295" s="17" t="s">
        <v>1447</v>
      </c>
      <c r="D295" s="18" t="s">
        <v>1448</v>
      </c>
      <c r="E295" s="17" t="s">
        <v>172</v>
      </c>
      <c r="F295" s="19" t="n">
        <v>29000</v>
      </c>
      <c r="G295" s="20" t="s">
        <v>1287</v>
      </c>
      <c r="H295" s="20" t="s">
        <v>1292</v>
      </c>
      <c r="I295" s="20" t="s">
        <v>493</v>
      </c>
      <c r="J295" s="20"/>
      <c r="K295" s="21" t="str">
        <f aca="false">IF(OR(G295="",H295="",I295=""),"",G295&amp;H295&amp;I295&amp;J295)</f>
        <v>EMPR403</v>
      </c>
      <c r="L295" s="18" t="s">
        <v>1448</v>
      </c>
      <c r="M295" s="18" t="s">
        <v>1449</v>
      </c>
      <c r="N295" s="22" t="s">
        <v>6</v>
      </c>
      <c r="O295" s="17" t="str">
        <f aca="false">IF(K295="","",IF(COUNTIF($K$5:$K$327,K295)&gt;1,"DUPLICADO","Único"))</f>
        <v>Único</v>
      </c>
      <c r="P295" s="18" t="s">
        <v>1436</v>
      </c>
      <c r="Q295" s="18" t="s">
        <v>1426</v>
      </c>
      <c r="R295" s="17"/>
    </row>
    <row r="296" customFormat="false" ht="23.85" hidden="false" customHeight="false" outlineLevel="0" collapsed="false">
      <c r="A296" s="17" t="s">
        <v>295</v>
      </c>
      <c r="B296" s="17" t="s">
        <v>1288</v>
      </c>
      <c r="C296" s="17" t="s">
        <v>1450</v>
      </c>
      <c r="D296" s="18" t="s">
        <v>1451</v>
      </c>
      <c r="E296" s="17" t="s">
        <v>568</v>
      </c>
      <c r="F296" s="19" t="n">
        <v>0</v>
      </c>
      <c r="G296" s="20"/>
      <c r="H296" s="20"/>
      <c r="I296" s="20"/>
      <c r="J296" s="20"/>
      <c r="K296" s="21" t="str">
        <f aca="false">IF(OR(G296="",H296="",I296=""),"",G296&amp;H296&amp;I296&amp;J296)</f>
        <v/>
      </c>
      <c r="L296" s="18"/>
      <c r="M296" s="18"/>
      <c r="N296" s="23" t="s">
        <v>7</v>
      </c>
      <c r="O296" s="17" t="str">
        <f aca="false">IF(K296="","",IF(COUNTIF($K$5:$K$327,K296)&gt;1,"DUPLICADO","Único"))</f>
        <v/>
      </c>
      <c r="P296" s="18" t="s">
        <v>295</v>
      </c>
      <c r="Q296" s="18" t="s">
        <v>1452</v>
      </c>
      <c r="R296" s="17"/>
    </row>
    <row r="297" customFormat="false" ht="23.85" hidden="false" customHeight="false" outlineLevel="0" collapsed="false">
      <c r="A297" s="17" t="s">
        <v>295</v>
      </c>
      <c r="B297" s="17" t="s">
        <v>1288</v>
      </c>
      <c r="C297" s="17" t="s">
        <v>1453</v>
      </c>
      <c r="D297" s="18" t="s">
        <v>1454</v>
      </c>
      <c r="E297" s="17" t="s">
        <v>301</v>
      </c>
      <c r="F297" s="19" t="n">
        <v>14</v>
      </c>
      <c r="G297" s="20"/>
      <c r="H297" s="20"/>
      <c r="I297" s="20"/>
      <c r="J297" s="20"/>
      <c r="K297" s="21" t="str">
        <f aca="false">IF(OR(G297="",H297="",I297=""),"",G297&amp;H297&amp;I297&amp;J297)</f>
        <v/>
      </c>
      <c r="L297" s="18"/>
      <c r="M297" s="18"/>
      <c r="N297" s="23" t="s">
        <v>7</v>
      </c>
      <c r="O297" s="17" t="str">
        <f aca="false">IF(K297="","",IF(COUNTIF($K$5:$K$327,K297)&gt;1,"DUPLICADO","Único"))</f>
        <v/>
      </c>
      <c r="P297" s="18" t="s">
        <v>295</v>
      </c>
      <c r="Q297" s="18" t="s">
        <v>1452</v>
      </c>
      <c r="R297" s="17"/>
    </row>
    <row r="298" customFormat="false" ht="23.85" hidden="false" customHeight="false" outlineLevel="0" collapsed="false">
      <c r="A298" s="17" t="s">
        <v>295</v>
      </c>
      <c r="B298" s="17" t="s">
        <v>1288</v>
      </c>
      <c r="C298" s="17" t="s">
        <v>1455</v>
      </c>
      <c r="D298" s="18" t="s">
        <v>1456</v>
      </c>
      <c r="E298" s="17" t="s">
        <v>301</v>
      </c>
      <c r="F298" s="19" t="n">
        <v>6</v>
      </c>
      <c r="G298" s="20"/>
      <c r="H298" s="20"/>
      <c r="I298" s="20"/>
      <c r="J298" s="20"/>
      <c r="K298" s="21" t="str">
        <f aca="false">IF(OR(G298="",H298="",I298=""),"",G298&amp;H298&amp;I298&amp;J298)</f>
        <v/>
      </c>
      <c r="L298" s="18"/>
      <c r="M298" s="18"/>
      <c r="N298" s="23" t="s">
        <v>7</v>
      </c>
      <c r="O298" s="17" t="str">
        <f aca="false">IF(K298="","",IF(COUNTIF($K$5:$K$327,K298)&gt;1,"DUPLICADO","Único"))</f>
        <v/>
      </c>
      <c r="P298" s="18" t="s">
        <v>295</v>
      </c>
      <c r="Q298" s="18" t="s">
        <v>1452</v>
      </c>
      <c r="R298" s="17"/>
    </row>
    <row r="299" customFormat="false" ht="23.85" hidden="false" customHeight="false" outlineLevel="0" collapsed="false">
      <c r="A299" s="17" t="s">
        <v>295</v>
      </c>
      <c r="B299" s="17" t="s">
        <v>1288</v>
      </c>
      <c r="C299" s="17" t="s">
        <v>1457</v>
      </c>
      <c r="D299" s="18" t="s">
        <v>1458</v>
      </c>
      <c r="E299" s="17" t="s">
        <v>1459</v>
      </c>
      <c r="F299" s="19" t="n">
        <v>0</v>
      </c>
      <c r="G299" s="20"/>
      <c r="H299" s="20"/>
      <c r="I299" s="20"/>
      <c r="J299" s="20"/>
      <c r="K299" s="21" t="str">
        <f aca="false">IF(OR(G299="",H299="",I299=""),"",G299&amp;H299&amp;I299&amp;J299)</f>
        <v/>
      </c>
      <c r="L299" s="18"/>
      <c r="M299" s="18"/>
      <c r="N299" s="23" t="s">
        <v>7</v>
      </c>
      <c r="O299" s="17" t="str">
        <f aca="false">IF(K299="","",IF(COUNTIF($K$5:$K$327,K299)&gt;1,"DUPLICADO","Único"))</f>
        <v/>
      </c>
      <c r="P299" s="18" t="s">
        <v>295</v>
      </c>
      <c r="Q299" s="18" t="s">
        <v>1452</v>
      </c>
      <c r="R299" s="17"/>
    </row>
    <row r="300" customFormat="false" ht="23.85" hidden="false" customHeight="false" outlineLevel="0" collapsed="false">
      <c r="A300" s="17" t="s">
        <v>295</v>
      </c>
      <c r="B300" s="17" t="s">
        <v>1288</v>
      </c>
      <c r="C300" s="17" t="s">
        <v>1460</v>
      </c>
      <c r="D300" s="18" t="s">
        <v>1461</v>
      </c>
      <c r="E300" s="17" t="s">
        <v>355</v>
      </c>
      <c r="F300" s="19" t="n">
        <v>2</v>
      </c>
      <c r="G300" s="20"/>
      <c r="H300" s="20"/>
      <c r="I300" s="20"/>
      <c r="J300" s="20"/>
      <c r="K300" s="21" t="str">
        <f aca="false">IF(OR(G300="",H300="",I300=""),"",G300&amp;H300&amp;I300&amp;J300)</f>
        <v/>
      </c>
      <c r="L300" s="18"/>
      <c r="M300" s="18"/>
      <c r="N300" s="23" t="s">
        <v>7</v>
      </c>
      <c r="O300" s="17" t="str">
        <f aca="false">IF(K300="","",IF(COUNTIF($K$5:$K$327,K300)&gt;1,"DUPLICADO","Único"))</f>
        <v/>
      </c>
      <c r="P300" s="18" t="s">
        <v>295</v>
      </c>
      <c r="Q300" s="18" t="s">
        <v>1452</v>
      </c>
      <c r="R300" s="17"/>
    </row>
    <row r="301" customFormat="false" ht="23.85" hidden="false" customHeight="false" outlineLevel="0" collapsed="false">
      <c r="A301" s="17" t="s">
        <v>295</v>
      </c>
      <c r="B301" s="17" t="s">
        <v>1288</v>
      </c>
      <c r="C301" s="17" t="s">
        <v>1462</v>
      </c>
      <c r="D301" s="18" t="s">
        <v>1463</v>
      </c>
      <c r="E301" s="17" t="s">
        <v>568</v>
      </c>
      <c r="F301" s="19" t="n">
        <v>0</v>
      </c>
      <c r="G301" s="20"/>
      <c r="H301" s="20"/>
      <c r="I301" s="20"/>
      <c r="J301" s="20"/>
      <c r="K301" s="21" t="str">
        <f aca="false">IF(OR(G301="",H301="",I301=""),"",G301&amp;H301&amp;I301&amp;J301)</f>
        <v/>
      </c>
      <c r="L301" s="18"/>
      <c r="M301" s="18"/>
      <c r="N301" s="23" t="s">
        <v>7</v>
      </c>
      <c r="O301" s="17" t="str">
        <f aca="false">IF(K301="","",IF(COUNTIF($K$5:$K$327,K301)&gt;1,"DUPLICADO","Único"))</f>
        <v/>
      </c>
      <c r="P301" s="18" t="s">
        <v>295</v>
      </c>
      <c r="Q301" s="18" t="s">
        <v>1452</v>
      </c>
      <c r="R301" s="17"/>
    </row>
    <row r="302" customFormat="false" ht="23.85" hidden="false" customHeight="false" outlineLevel="0" collapsed="false">
      <c r="A302" s="17" t="s">
        <v>295</v>
      </c>
      <c r="B302" s="17" t="s">
        <v>1288</v>
      </c>
      <c r="C302" s="17" t="s">
        <v>1464</v>
      </c>
      <c r="D302" s="18" t="s">
        <v>1465</v>
      </c>
      <c r="E302" s="17" t="s">
        <v>568</v>
      </c>
      <c r="F302" s="19" t="n">
        <v>41</v>
      </c>
      <c r="G302" s="20"/>
      <c r="H302" s="20"/>
      <c r="I302" s="20"/>
      <c r="J302" s="20"/>
      <c r="K302" s="21" t="str">
        <f aca="false">IF(OR(G302="",H302="",I302=""),"",G302&amp;H302&amp;I302&amp;J302)</f>
        <v/>
      </c>
      <c r="L302" s="18"/>
      <c r="M302" s="18"/>
      <c r="N302" s="23" t="s">
        <v>7</v>
      </c>
      <c r="O302" s="17" t="str">
        <f aca="false">IF(K302="","",IF(COUNTIF($K$5:$K$327,K302)&gt;1,"DUPLICADO","Único"))</f>
        <v/>
      </c>
      <c r="P302" s="18" t="s">
        <v>295</v>
      </c>
      <c r="Q302" s="18" t="s">
        <v>1452</v>
      </c>
      <c r="R302" s="17"/>
    </row>
    <row r="303" customFormat="false" ht="23.85" hidden="false" customHeight="false" outlineLevel="0" collapsed="false">
      <c r="A303" s="17" t="s">
        <v>295</v>
      </c>
      <c r="B303" s="17" t="s">
        <v>1288</v>
      </c>
      <c r="C303" s="17" t="s">
        <v>1466</v>
      </c>
      <c r="D303" s="18" t="s">
        <v>1467</v>
      </c>
      <c r="E303" s="17" t="s">
        <v>301</v>
      </c>
      <c r="F303" s="19" t="n">
        <v>0</v>
      </c>
      <c r="G303" s="20"/>
      <c r="H303" s="20"/>
      <c r="I303" s="20"/>
      <c r="J303" s="20"/>
      <c r="K303" s="21" t="str">
        <f aca="false">IF(OR(G303="",H303="",I303=""),"",G303&amp;H303&amp;I303&amp;J303)</f>
        <v/>
      </c>
      <c r="L303" s="18"/>
      <c r="M303" s="18"/>
      <c r="N303" s="23" t="s">
        <v>7</v>
      </c>
      <c r="O303" s="17" t="str">
        <f aca="false">IF(K303="","",IF(COUNTIF($K$5:$K$327,K303)&gt;1,"DUPLICADO","Único"))</f>
        <v/>
      </c>
      <c r="P303" s="18" t="s">
        <v>295</v>
      </c>
      <c r="Q303" s="18" t="s">
        <v>1452</v>
      </c>
      <c r="R303" s="17"/>
    </row>
    <row r="304" customFormat="false" ht="23.85" hidden="false" customHeight="false" outlineLevel="0" collapsed="false">
      <c r="A304" s="17" t="s">
        <v>295</v>
      </c>
      <c r="B304" s="17" t="s">
        <v>1288</v>
      </c>
      <c r="C304" s="17" t="s">
        <v>1468</v>
      </c>
      <c r="D304" s="18" t="s">
        <v>1469</v>
      </c>
      <c r="E304" s="17" t="s">
        <v>172</v>
      </c>
      <c r="F304" s="19" t="n">
        <v>0</v>
      </c>
      <c r="G304" s="20"/>
      <c r="H304" s="20"/>
      <c r="I304" s="20"/>
      <c r="J304" s="20"/>
      <c r="K304" s="21" t="str">
        <f aca="false">IF(OR(G304="",H304="",I304=""),"",G304&amp;H304&amp;I304&amp;J304)</f>
        <v/>
      </c>
      <c r="L304" s="18"/>
      <c r="M304" s="18"/>
      <c r="N304" s="23" t="s">
        <v>7</v>
      </c>
      <c r="O304" s="17" t="str">
        <f aca="false">IF(K304="","",IF(COUNTIF($K$5:$K$327,K304)&gt;1,"DUPLICADO","Único"))</f>
        <v/>
      </c>
      <c r="P304" s="18" t="s">
        <v>295</v>
      </c>
      <c r="Q304" s="18" t="s">
        <v>1452</v>
      </c>
      <c r="R304" s="17"/>
    </row>
    <row r="305" customFormat="false" ht="23.85" hidden="false" customHeight="false" outlineLevel="0" collapsed="false">
      <c r="A305" s="17" t="s">
        <v>295</v>
      </c>
      <c r="B305" s="17" t="s">
        <v>1288</v>
      </c>
      <c r="C305" s="17" t="s">
        <v>1470</v>
      </c>
      <c r="D305" s="18" t="s">
        <v>1471</v>
      </c>
      <c r="E305" s="17" t="s">
        <v>1459</v>
      </c>
      <c r="F305" s="19" t="n">
        <v>0</v>
      </c>
      <c r="G305" s="20"/>
      <c r="H305" s="20"/>
      <c r="I305" s="20"/>
      <c r="J305" s="20"/>
      <c r="K305" s="21" t="str">
        <f aca="false">IF(OR(G305="",H305="",I305=""),"",G305&amp;H305&amp;I305&amp;J305)</f>
        <v/>
      </c>
      <c r="L305" s="18"/>
      <c r="M305" s="18"/>
      <c r="N305" s="23" t="s">
        <v>7</v>
      </c>
      <c r="O305" s="17" t="str">
        <f aca="false">IF(K305="","",IF(COUNTIF($K$5:$K$327,K305)&gt;1,"DUPLICADO","Único"))</f>
        <v/>
      </c>
      <c r="P305" s="18" t="s">
        <v>295</v>
      </c>
      <c r="Q305" s="18" t="s">
        <v>1452</v>
      </c>
      <c r="R305" s="17"/>
    </row>
    <row r="306" customFormat="false" ht="23.85" hidden="false" customHeight="false" outlineLevel="0" collapsed="false">
      <c r="A306" s="17" t="s">
        <v>295</v>
      </c>
      <c r="B306" s="17" t="s">
        <v>1288</v>
      </c>
      <c r="C306" s="17" t="s">
        <v>1472</v>
      </c>
      <c r="D306" s="18" t="s">
        <v>1473</v>
      </c>
      <c r="E306" s="17" t="s">
        <v>301</v>
      </c>
      <c r="F306" s="19" t="n">
        <v>0</v>
      </c>
      <c r="G306" s="20"/>
      <c r="H306" s="20"/>
      <c r="I306" s="20"/>
      <c r="J306" s="20"/>
      <c r="K306" s="21" t="str">
        <f aca="false">IF(OR(G306="",H306="",I306=""),"",G306&amp;H306&amp;I306&amp;J306)</f>
        <v/>
      </c>
      <c r="L306" s="18"/>
      <c r="M306" s="18"/>
      <c r="N306" s="23" t="s">
        <v>7</v>
      </c>
      <c r="O306" s="17" t="str">
        <f aca="false">IF(K306="","",IF(COUNTIF($K$5:$K$327,K306)&gt;1,"DUPLICADO","Único"))</f>
        <v/>
      </c>
      <c r="P306" s="18" t="s">
        <v>295</v>
      </c>
      <c r="Q306" s="18" t="s">
        <v>1452</v>
      </c>
      <c r="R306" s="17"/>
    </row>
    <row r="307" customFormat="false" ht="23.85" hidden="false" customHeight="false" outlineLevel="0" collapsed="false">
      <c r="A307" s="17" t="s">
        <v>295</v>
      </c>
      <c r="B307" s="17" t="s">
        <v>1288</v>
      </c>
      <c r="C307" s="17" t="s">
        <v>1474</v>
      </c>
      <c r="D307" s="18" t="s">
        <v>1475</v>
      </c>
      <c r="E307" s="17" t="s">
        <v>301</v>
      </c>
      <c r="F307" s="19" t="n">
        <v>2</v>
      </c>
      <c r="G307" s="20"/>
      <c r="H307" s="20"/>
      <c r="I307" s="20"/>
      <c r="J307" s="20"/>
      <c r="K307" s="21" t="str">
        <f aca="false">IF(OR(G307="",H307="",I307=""),"",G307&amp;H307&amp;I307&amp;J307)</f>
        <v/>
      </c>
      <c r="L307" s="18"/>
      <c r="M307" s="18"/>
      <c r="N307" s="23" t="s">
        <v>7</v>
      </c>
      <c r="O307" s="17" t="str">
        <f aca="false">IF(K307="","",IF(COUNTIF($K$5:$K$327,K307)&gt;1,"DUPLICADO","Único"))</f>
        <v/>
      </c>
      <c r="P307" s="18" t="s">
        <v>295</v>
      </c>
      <c r="Q307" s="18" t="s">
        <v>1452</v>
      </c>
      <c r="R307" s="17"/>
    </row>
    <row r="308" customFormat="false" ht="23.85" hidden="false" customHeight="false" outlineLevel="0" collapsed="false">
      <c r="A308" s="17" t="s">
        <v>295</v>
      </c>
      <c r="B308" s="17" t="s">
        <v>1288</v>
      </c>
      <c r="C308" s="17" t="s">
        <v>1476</v>
      </c>
      <c r="D308" s="18" t="s">
        <v>1477</v>
      </c>
      <c r="E308" s="17" t="s">
        <v>65</v>
      </c>
      <c r="F308" s="19" t="n">
        <v>1</v>
      </c>
      <c r="G308" s="20"/>
      <c r="H308" s="20"/>
      <c r="I308" s="20"/>
      <c r="J308" s="20"/>
      <c r="K308" s="21" t="str">
        <f aca="false">IF(OR(G308="",H308="",I308=""),"",G308&amp;H308&amp;I308&amp;J308)</f>
        <v/>
      </c>
      <c r="L308" s="18"/>
      <c r="M308" s="18"/>
      <c r="N308" s="23" t="s">
        <v>7</v>
      </c>
      <c r="O308" s="17" t="str">
        <f aca="false">IF(K308="","",IF(COUNTIF($K$5:$K$327,K308)&gt;1,"DUPLICADO","Único"))</f>
        <v/>
      </c>
      <c r="P308" s="18" t="s">
        <v>295</v>
      </c>
      <c r="Q308" s="18" t="s">
        <v>1452</v>
      </c>
      <c r="R308" s="17"/>
    </row>
    <row r="309" customFormat="false" ht="23.85" hidden="false" customHeight="false" outlineLevel="0" collapsed="false">
      <c r="A309" s="17" t="s">
        <v>295</v>
      </c>
      <c r="B309" s="17" t="s">
        <v>1288</v>
      </c>
      <c r="C309" s="17" t="s">
        <v>1478</v>
      </c>
      <c r="D309" s="18" t="s">
        <v>1479</v>
      </c>
      <c r="E309" s="17" t="s">
        <v>172</v>
      </c>
      <c r="F309" s="19" t="n">
        <v>60</v>
      </c>
      <c r="G309" s="20"/>
      <c r="H309" s="20"/>
      <c r="I309" s="20"/>
      <c r="J309" s="20"/>
      <c r="K309" s="21" t="str">
        <f aca="false">IF(OR(G309="",H309="",I309=""),"",G309&amp;H309&amp;I309&amp;J309)</f>
        <v/>
      </c>
      <c r="L309" s="18"/>
      <c r="M309" s="18"/>
      <c r="N309" s="23" t="s">
        <v>7</v>
      </c>
      <c r="O309" s="17" t="str">
        <f aca="false">IF(K309="","",IF(COUNTIF($K$5:$K$327,K309)&gt;1,"DUPLICADO","Único"))</f>
        <v/>
      </c>
      <c r="P309" s="18" t="s">
        <v>295</v>
      </c>
      <c r="Q309" s="18" t="s">
        <v>1452</v>
      </c>
      <c r="R309" s="17"/>
    </row>
    <row r="310" customFormat="false" ht="23.85" hidden="false" customHeight="false" outlineLevel="0" collapsed="false">
      <c r="A310" s="17" t="s">
        <v>295</v>
      </c>
      <c r="B310" s="17" t="s">
        <v>1288</v>
      </c>
      <c r="C310" s="17" t="s">
        <v>1480</v>
      </c>
      <c r="D310" s="18" t="s">
        <v>1481</v>
      </c>
      <c r="E310" s="17" t="s">
        <v>1361</v>
      </c>
      <c r="F310" s="19" t="n">
        <v>0</v>
      </c>
      <c r="G310" s="20"/>
      <c r="H310" s="20"/>
      <c r="I310" s="20"/>
      <c r="J310" s="20"/>
      <c r="K310" s="21" t="str">
        <f aca="false">IF(OR(G310="",H310="",I310=""),"",G310&amp;H310&amp;I310&amp;J310)</f>
        <v/>
      </c>
      <c r="L310" s="18"/>
      <c r="M310" s="18"/>
      <c r="N310" s="23" t="s">
        <v>7</v>
      </c>
      <c r="O310" s="17" t="str">
        <f aca="false">IF(K310="","",IF(COUNTIF($K$5:$K$327,K310)&gt;1,"DUPLICADO","Único"))</f>
        <v/>
      </c>
      <c r="P310" s="18" t="s">
        <v>295</v>
      </c>
      <c r="Q310" s="18" t="s">
        <v>1452</v>
      </c>
      <c r="R310" s="17"/>
    </row>
    <row r="311" customFormat="false" ht="23.85" hidden="false" customHeight="false" outlineLevel="0" collapsed="false">
      <c r="A311" s="17" t="s">
        <v>295</v>
      </c>
      <c r="B311" s="17" t="s">
        <v>1288</v>
      </c>
      <c r="C311" s="17" t="s">
        <v>1482</v>
      </c>
      <c r="D311" s="18" t="s">
        <v>1483</v>
      </c>
      <c r="E311" s="17" t="s">
        <v>1484</v>
      </c>
      <c r="F311" s="19" t="n">
        <v>6</v>
      </c>
      <c r="G311" s="20"/>
      <c r="H311" s="20"/>
      <c r="I311" s="20"/>
      <c r="J311" s="20"/>
      <c r="K311" s="21" t="str">
        <f aca="false">IF(OR(G311="",H311="",I311=""),"",G311&amp;H311&amp;I311&amp;J311)</f>
        <v/>
      </c>
      <c r="L311" s="18"/>
      <c r="M311" s="18"/>
      <c r="N311" s="23" t="s">
        <v>7</v>
      </c>
      <c r="O311" s="17" t="str">
        <f aca="false">IF(K311="","",IF(COUNTIF($K$5:$K$327,K311)&gt;1,"DUPLICADO","Único"))</f>
        <v/>
      </c>
      <c r="P311" s="18" t="s">
        <v>295</v>
      </c>
      <c r="Q311" s="18" t="s">
        <v>1452</v>
      </c>
      <c r="R311" s="17"/>
    </row>
    <row r="312" customFormat="false" ht="23.85" hidden="false" customHeight="false" outlineLevel="0" collapsed="false">
      <c r="A312" s="17" t="s">
        <v>295</v>
      </c>
      <c r="B312" s="17" t="s">
        <v>1288</v>
      </c>
      <c r="C312" s="17" t="s">
        <v>1485</v>
      </c>
      <c r="D312" s="18" t="s">
        <v>1486</v>
      </c>
      <c r="E312" s="17" t="s">
        <v>172</v>
      </c>
      <c r="F312" s="19" t="n">
        <v>56</v>
      </c>
      <c r="G312" s="20"/>
      <c r="H312" s="20"/>
      <c r="I312" s="20"/>
      <c r="J312" s="20"/>
      <c r="K312" s="21" t="str">
        <f aca="false">IF(OR(G312="",H312="",I312=""),"",G312&amp;H312&amp;I312&amp;J312)</f>
        <v/>
      </c>
      <c r="L312" s="18"/>
      <c r="M312" s="18"/>
      <c r="N312" s="23" t="s">
        <v>7</v>
      </c>
      <c r="O312" s="17" t="str">
        <f aca="false">IF(K312="","",IF(COUNTIF($K$5:$K$327,K312)&gt;1,"DUPLICADO","Único"))</f>
        <v/>
      </c>
      <c r="P312" s="18" t="s">
        <v>295</v>
      </c>
      <c r="Q312" s="18" t="s">
        <v>1452</v>
      </c>
      <c r="R312" s="17"/>
    </row>
    <row r="313" customFormat="false" ht="23.85" hidden="false" customHeight="false" outlineLevel="0" collapsed="false">
      <c r="A313" s="17" t="s">
        <v>295</v>
      </c>
      <c r="B313" s="17" t="s">
        <v>1288</v>
      </c>
      <c r="C313" s="17" t="s">
        <v>1487</v>
      </c>
      <c r="D313" s="18" t="s">
        <v>1488</v>
      </c>
      <c r="E313" s="17" t="s">
        <v>172</v>
      </c>
      <c r="F313" s="19" t="n">
        <v>0</v>
      </c>
      <c r="G313" s="20"/>
      <c r="H313" s="20"/>
      <c r="I313" s="20"/>
      <c r="J313" s="20"/>
      <c r="K313" s="21" t="str">
        <f aca="false">IF(OR(G313="",H313="",I313=""),"",G313&amp;H313&amp;I313&amp;J313)</f>
        <v/>
      </c>
      <c r="L313" s="18"/>
      <c r="M313" s="18"/>
      <c r="N313" s="23" t="s">
        <v>7</v>
      </c>
      <c r="O313" s="17" t="str">
        <f aca="false">IF(K313="","",IF(COUNTIF($K$5:$K$327,K313)&gt;1,"DUPLICADO","Único"))</f>
        <v/>
      </c>
      <c r="P313" s="18" t="s">
        <v>295</v>
      </c>
      <c r="Q313" s="18" t="s">
        <v>1452</v>
      </c>
      <c r="R313" s="17"/>
    </row>
    <row r="314" customFormat="false" ht="23.85" hidden="false" customHeight="false" outlineLevel="0" collapsed="false">
      <c r="A314" s="17" t="s">
        <v>295</v>
      </c>
      <c r="B314" s="17" t="s">
        <v>1288</v>
      </c>
      <c r="C314" s="17" t="s">
        <v>1489</v>
      </c>
      <c r="D314" s="18" t="s">
        <v>1490</v>
      </c>
      <c r="E314" s="17" t="s">
        <v>568</v>
      </c>
      <c r="F314" s="19" t="n">
        <v>25</v>
      </c>
      <c r="G314" s="20"/>
      <c r="H314" s="20"/>
      <c r="I314" s="20"/>
      <c r="J314" s="20"/>
      <c r="K314" s="21" t="str">
        <f aca="false">IF(OR(G314="",H314="",I314=""),"",G314&amp;H314&amp;I314&amp;J314)</f>
        <v/>
      </c>
      <c r="L314" s="18"/>
      <c r="M314" s="18"/>
      <c r="N314" s="23" t="s">
        <v>7</v>
      </c>
      <c r="O314" s="17" t="str">
        <f aca="false">IF(K314="","",IF(COUNTIF($K$5:$K$327,K314)&gt;1,"DUPLICADO","Único"))</f>
        <v/>
      </c>
      <c r="P314" s="18" t="s">
        <v>295</v>
      </c>
      <c r="Q314" s="18" t="s">
        <v>1452</v>
      </c>
      <c r="R314" s="17"/>
    </row>
    <row r="315" customFormat="false" ht="23.85" hidden="false" customHeight="false" outlineLevel="0" collapsed="false">
      <c r="A315" s="17" t="s">
        <v>295</v>
      </c>
      <c r="B315" s="17" t="s">
        <v>1288</v>
      </c>
      <c r="C315" s="17" t="s">
        <v>1491</v>
      </c>
      <c r="D315" s="18" t="s">
        <v>1492</v>
      </c>
      <c r="E315" s="17" t="s">
        <v>568</v>
      </c>
      <c r="F315" s="19" t="n">
        <v>25</v>
      </c>
      <c r="G315" s="20"/>
      <c r="H315" s="20"/>
      <c r="I315" s="20"/>
      <c r="J315" s="20"/>
      <c r="K315" s="21" t="str">
        <f aca="false">IF(OR(G315="",H315="",I315=""),"",G315&amp;H315&amp;I315&amp;J315)</f>
        <v/>
      </c>
      <c r="L315" s="18"/>
      <c r="M315" s="18"/>
      <c r="N315" s="23" t="s">
        <v>7</v>
      </c>
      <c r="O315" s="17" t="str">
        <f aca="false">IF(K315="","",IF(COUNTIF($K$5:$K$327,K315)&gt;1,"DUPLICADO","Único"))</f>
        <v/>
      </c>
      <c r="P315" s="18" t="s">
        <v>295</v>
      </c>
      <c r="Q315" s="18" t="s">
        <v>1452</v>
      </c>
      <c r="R315" s="17"/>
    </row>
    <row r="316" customFormat="false" ht="23.85" hidden="false" customHeight="false" outlineLevel="0" collapsed="false">
      <c r="A316" s="17" t="s">
        <v>295</v>
      </c>
      <c r="B316" s="17" t="s">
        <v>1288</v>
      </c>
      <c r="C316" s="17" t="s">
        <v>1493</v>
      </c>
      <c r="D316" s="18" t="s">
        <v>1494</v>
      </c>
      <c r="E316" s="17" t="s">
        <v>172</v>
      </c>
      <c r="F316" s="19" t="n">
        <v>700</v>
      </c>
      <c r="G316" s="20"/>
      <c r="H316" s="20"/>
      <c r="I316" s="20"/>
      <c r="J316" s="20"/>
      <c r="K316" s="21" t="str">
        <f aca="false">IF(OR(G316="",H316="",I316=""),"",G316&amp;H316&amp;I316&amp;J316)</f>
        <v/>
      </c>
      <c r="L316" s="18"/>
      <c r="M316" s="18"/>
      <c r="N316" s="23" t="s">
        <v>7</v>
      </c>
      <c r="O316" s="17" t="str">
        <f aca="false">IF(K316="","",IF(COUNTIF($K$5:$K$327,K316)&gt;1,"DUPLICADO","Único"))</f>
        <v/>
      </c>
      <c r="P316" s="18" t="s">
        <v>295</v>
      </c>
      <c r="Q316" s="18" t="s">
        <v>1452</v>
      </c>
      <c r="R316" s="17"/>
    </row>
    <row r="317" customFormat="false" ht="35.05" hidden="false" customHeight="false" outlineLevel="0" collapsed="false">
      <c r="A317" s="17" t="s">
        <v>295</v>
      </c>
      <c r="B317" s="17" t="s">
        <v>1288</v>
      </c>
      <c r="C317" s="17" t="s">
        <v>1495</v>
      </c>
      <c r="D317" s="18" t="s">
        <v>1496</v>
      </c>
      <c r="E317" s="17" t="s">
        <v>1291</v>
      </c>
      <c r="F317" s="19" t="n">
        <v>7</v>
      </c>
      <c r="G317" s="20"/>
      <c r="H317" s="20"/>
      <c r="I317" s="20"/>
      <c r="J317" s="20"/>
      <c r="K317" s="21" t="str">
        <f aca="false">IF(OR(G317="",H317="",I317=""),"",G317&amp;H317&amp;I317&amp;J317)</f>
        <v/>
      </c>
      <c r="L317" s="18"/>
      <c r="M317" s="18"/>
      <c r="N317" s="23" t="s">
        <v>7</v>
      </c>
      <c r="O317" s="17" t="str">
        <f aca="false">IF(K317="","",IF(COUNTIF($K$5:$K$327,K317)&gt;1,"DUPLICADO","Único"))</f>
        <v/>
      </c>
      <c r="P317" s="18" t="s">
        <v>295</v>
      </c>
      <c r="Q317" s="18" t="s">
        <v>1497</v>
      </c>
      <c r="R317" s="17"/>
    </row>
    <row r="318" customFormat="false" ht="23.85" hidden="false" customHeight="false" outlineLevel="0" collapsed="false">
      <c r="A318" s="17" t="s">
        <v>295</v>
      </c>
      <c r="B318" s="17" t="s">
        <v>1288</v>
      </c>
      <c r="C318" s="17" t="s">
        <v>1498</v>
      </c>
      <c r="D318" s="18" t="s">
        <v>1499</v>
      </c>
      <c r="E318" s="17" t="s">
        <v>568</v>
      </c>
      <c r="F318" s="19" t="n">
        <v>1</v>
      </c>
      <c r="G318" s="20"/>
      <c r="H318" s="20"/>
      <c r="I318" s="20"/>
      <c r="J318" s="20"/>
      <c r="K318" s="21" t="str">
        <f aca="false">IF(OR(G318="",H318="",I318=""),"",G318&amp;H318&amp;I318&amp;J318)</f>
        <v/>
      </c>
      <c r="L318" s="18"/>
      <c r="M318" s="18"/>
      <c r="N318" s="23" t="s">
        <v>7</v>
      </c>
      <c r="O318" s="17" t="str">
        <f aca="false">IF(K318="","",IF(COUNTIF($K$5:$K$327,K318)&gt;1,"DUPLICADO","Único"))</f>
        <v/>
      </c>
      <c r="P318" s="18" t="s">
        <v>295</v>
      </c>
      <c r="Q318" s="18" t="s">
        <v>1452</v>
      </c>
      <c r="R318" s="17"/>
    </row>
    <row r="319" customFormat="false" ht="35.05" hidden="false" customHeight="false" outlineLevel="0" collapsed="false">
      <c r="A319" s="17" t="s">
        <v>295</v>
      </c>
      <c r="B319" s="17" t="s">
        <v>1288</v>
      </c>
      <c r="C319" s="17" t="s">
        <v>1500</v>
      </c>
      <c r="D319" s="18" t="s">
        <v>1501</v>
      </c>
      <c r="E319" s="17" t="s">
        <v>172</v>
      </c>
      <c r="F319" s="19" t="n">
        <v>1</v>
      </c>
      <c r="G319" s="20"/>
      <c r="H319" s="20"/>
      <c r="I319" s="20"/>
      <c r="J319" s="20"/>
      <c r="K319" s="21" t="str">
        <f aca="false">IF(OR(G319="",H319="",I319=""),"",G319&amp;H319&amp;I319&amp;J319)</f>
        <v/>
      </c>
      <c r="L319" s="18"/>
      <c r="M319" s="18"/>
      <c r="N319" s="23" t="s">
        <v>7</v>
      </c>
      <c r="O319" s="17" t="str">
        <f aca="false">IF(K319="","",IF(COUNTIF($K$5:$K$327,K319)&gt;1,"DUPLICADO","Único"))</f>
        <v/>
      </c>
      <c r="P319" s="18" t="s">
        <v>295</v>
      </c>
      <c r="Q319" s="18" t="s">
        <v>1502</v>
      </c>
      <c r="R319" s="17"/>
    </row>
    <row r="320" customFormat="false" ht="23.85" hidden="false" customHeight="false" outlineLevel="0" collapsed="false">
      <c r="A320" s="17" t="s">
        <v>295</v>
      </c>
      <c r="B320" s="17" t="s">
        <v>1288</v>
      </c>
      <c r="C320" s="17" t="s">
        <v>1503</v>
      </c>
      <c r="D320" s="18" t="s">
        <v>1504</v>
      </c>
      <c r="E320" s="17" t="s">
        <v>172</v>
      </c>
      <c r="F320" s="19" t="n">
        <v>0</v>
      </c>
      <c r="G320" s="20"/>
      <c r="H320" s="20"/>
      <c r="I320" s="20"/>
      <c r="J320" s="20"/>
      <c r="K320" s="21" t="str">
        <f aca="false">IF(OR(G320="",H320="",I320=""),"",G320&amp;H320&amp;I320&amp;J320)</f>
        <v/>
      </c>
      <c r="L320" s="18"/>
      <c r="M320" s="18"/>
      <c r="N320" s="23" t="s">
        <v>7</v>
      </c>
      <c r="O320" s="17" t="str">
        <f aca="false">IF(K320="","",IF(COUNTIF($K$5:$K$327,K320)&gt;1,"DUPLICADO","Único"))</f>
        <v/>
      </c>
      <c r="P320" s="18" t="s">
        <v>295</v>
      </c>
      <c r="Q320" s="18" t="s">
        <v>1452</v>
      </c>
      <c r="R320" s="17"/>
    </row>
    <row r="321" customFormat="false" ht="23.85" hidden="false" customHeight="false" outlineLevel="0" collapsed="false">
      <c r="A321" s="17" t="s">
        <v>295</v>
      </c>
      <c r="B321" s="17" t="s">
        <v>1288</v>
      </c>
      <c r="C321" s="17" t="s">
        <v>1505</v>
      </c>
      <c r="D321" s="18" t="s">
        <v>1506</v>
      </c>
      <c r="E321" s="17" t="s">
        <v>172</v>
      </c>
      <c r="F321" s="19" t="n">
        <v>20</v>
      </c>
      <c r="G321" s="20"/>
      <c r="H321" s="20"/>
      <c r="I321" s="20"/>
      <c r="J321" s="20"/>
      <c r="K321" s="21" t="str">
        <f aca="false">IF(OR(G321="",H321="",I321=""),"",G321&amp;H321&amp;I321&amp;J321)</f>
        <v/>
      </c>
      <c r="L321" s="18"/>
      <c r="M321" s="18"/>
      <c r="N321" s="23" t="s">
        <v>7</v>
      </c>
      <c r="O321" s="17" t="str">
        <f aca="false">IF(K321="","",IF(COUNTIF($K$5:$K$327,K321)&gt;1,"DUPLICADO","Único"))</f>
        <v/>
      </c>
      <c r="P321" s="18" t="s">
        <v>295</v>
      </c>
      <c r="Q321" s="18" t="s">
        <v>1452</v>
      </c>
      <c r="R321" s="17"/>
    </row>
    <row r="322" customFormat="false" ht="35.05" hidden="false" customHeight="false" outlineLevel="0" collapsed="false">
      <c r="A322" s="17" t="s">
        <v>295</v>
      </c>
      <c r="B322" s="17" t="s">
        <v>1288</v>
      </c>
      <c r="C322" s="17" t="s">
        <v>1507</v>
      </c>
      <c r="D322" s="18" t="s">
        <v>1508</v>
      </c>
      <c r="E322" s="17" t="s">
        <v>301</v>
      </c>
      <c r="F322" s="19" t="n">
        <v>0</v>
      </c>
      <c r="G322" s="20"/>
      <c r="H322" s="20"/>
      <c r="I322" s="20"/>
      <c r="J322" s="20"/>
      <c r="K322" s="21" t="str">
        <f aca="false">IF(OR(G322="",H322="",I322=""),"",G322&amp;H322&amp;I322&amp;J322)</f>
        <v/>
      </c>
      <c r="L322" s="18"/>
      <c r="M322" s="18"/>
      <c r="N322" s="23" t="s">
        <v>7</v>
      </c>
      <c r="O322" s="17" t="str">
        <f aca="false">IF(K322="","",IF(COUNTIF($K$5:$K$327,K322)&gt;1,"DUPLICADO","Único"))</f>
        <v/>
      </c>
      <c r="P322" s="18" t="s">
        <v>295</v>
      </c>
      <c r="Q322" s="18" t="s">
        <v>1509</v>
      </c>
      <c r="R322" s="17"/>
    </row>
    <row r="323" customFormat="false" ht="23.85" hidden="false" customHeight="false" outlineLevel="0" collapsed="false">
      <c r="A323" s="17" t="s">
        <v>295</v>
      </c>
      <c r="B323" s="17" t="s">
        <v>1288</v>
      </c>
      <c r="C323" s="17" t="s">
        <v>1510</v>
      </c>
      <c r="D323" s="18" t="s">
        <v>1511</v>
      </c>
      <c r="E323" s="17" t="s">
        <v>301</v>
      </c>
      <c r="F323" s="19" t="n">
        <v>1</v>
      </c>
      <c r="G323" s="20"/>
      <c r="H323" s="20"/>
      <c r="I323" s="20"/>
      <c r="J323" s="20"/>
      <c r="K323" s="21" t="str">
        <f aca="false">IF(OR(G323="",H323="",I323=""),"",G323&amp;H323&amp;I323&amp;J323)</f>
        <v/>
      </c>
      <c r="L323" s="18"/>
      <c r="M323" s="18"/>
      <c r="N323" s="23" t="s">
        <v>7</v>
      </c>
      <c r="O323" s="17" t="str">
        <f aca="false">IF(K323="","",IF(COUNTIF($K$5:$K$327,K323)&gt;1,"DUPLICADO","Único"))</f>
        <v/>
      </c>
      <c r="P323" s="18" t="s">
        <v>295</v>
      </c>
      <c r="Q323" s="18" t="s">
        <v>1512</v>
      </c>
      <c r="R323" s="17"/>
    </row>
    <row r="324" customFormat="false" ht="35.05" hidden="false" customHeight="false" outlineLevel="0" collapsed="false">
      <c r="A324" s="17" t="s">
        <v>295</v>
      </c>
      <c r="B324" s="17" t="s">
        <v>1288</v>
      </c>
      <c r="C324" s="17" t="s">
        <v>1513</v>
      </c>
      <c r="D324" s="18" t="s">
        <v>1514</v>
      </c>
      <c r="E324" s="17" t="s">
        <v>301</v>
      </c>
      <c r="F324" s="19" t="n">
        <v>0</v>
      </c>
      <c r="G324" s="20"/>
      <c r="H324" s="20"/>
      <c r="I324" s="20"/>
      <c r="J324" s="20"/>
      <c r="K324" s="21" t="str">
        <f aca="false">IF(OR(G324="",H324="",I324=""),"",G324&amp;H324&amp;I324&amp;J324)</f>
        <v/>
      </c>
      <c r="L324" s="18"/>
      <c r="M324" s="18"/>
      <c r="N324" s="23" t="s">
        <v>7</v>
      </c>
      <c r="O324" s="17" t="str">
        <f aca="false">IF(K324="","",IF(COUNTIF($K$5:$K$327,K324)&gt;1,"DUPLICADO","Único"))</f>
        <v/>
      </c>
      <c r="P324" s="18" t="s">
        <v>295</v>
      </c>
      <c r="Q324" s="18" t="s">
        <v>1515</v>
      </c>
      <c r="R324" s="17"/>
    </row>
    <row r="325" customFormat="false" ht="23.85" hidden="false" customHeight="false" outlineLevel="0" collapsed="false">
      <c r="A325" s="17" t="s">
        <v>295</v>
      </c>
      <c r="B325" s="17" t="s">
        <v>1288</v>
      </c>
      <c r="C325" s="17" t="s">
        <v>1516</v>
      </c>
      <c r="D325" s="18" t="s">
        <v>1517</v>
      </c>
      <c r="E325" s="17" t="s">
        <v>172</v>
      </c>
      <c r="F325" s="19" t="n">
        <v>200</v>
      </c>
      <c r="G325" s="20"/>
      <c r="H325" s="20"/>
      <c r="I325" s="20"/>
      <c r="J325" s="20"/>
      <c r="K325" s="21" t="str">
        <f aca="false">IF(OR(G325="",H325="",I325=""),"",G325&amp;H325&amp;I325&amp;J325)</f>
        <v/>
      </c>
      <c r="L325" s="18"/>
      <c r="M325" s="18"/>
      <c r="N325" s="23" t="s">
        <v>7</v>
      </c>
      <c r="O325" s="17" t="str">
        <f aca="false">IF(K325="","",IF(COUNTIF($K$5:$K$327,K325)&gt;1,"DUPLICADO","Único"))</f>
        <v/>
      </c>
      <c r="P325" s="18" t="s">
        <v>295</v>
      </c>
      <c r="Q325" s="18" t="s">
        <v>1452</v>
      </c>
      <c r="R325" s="17"/>
    </row>
    <row r="326" customFormat="false" ht="23.85" hidden="false" customHeight="false" outlineLevel="0" collapsed="false">
      <c r="A326" s="17" t="s">
        <v>295</v>
      </c>
      <c r="B326" s="17" t="s">
        <v>1288</v>
      </c>
      <c r="C326" s="17" t="s">
        <v>1518</v>
      </c>
      <c r="D326" s="18" t="s">
        <v>1519</v>
      </c>
      <c r="E326" s="17" t="s">
        <v>172</v>
      </c>
      <c r="F326" s="19" t="n">
        <v>1</v>
      </c>
      <c r="G326" s="20"/>
      <c r="H326" s="20"/>
      <c r="I326" s="20"/>
      <c r="J326" s="20"/>
      <c r="K326" s="21" t="str">
        <f aca="false">IF(OR(G326="",H326="",I326=""),"",G326&amp;H326&amp;I326&amp;J326)</f>
        <v/>
      </c>
      <c r="L326" s="18"/>
      <c r="M326" s="18"/>
      <c r="N326" s="23" t="s">
        <v>7</v>
      </c>
      <c r="O326" s="17" t="str">
        <f aca="false">IF(K326="","",IF(COUNTIF($K$5:$K$327,K326)&gt;1,"DUPLICADO","Único"))</f>
        <v/>
      </c>
      <c r="P326" s="18" t="s">
        <v>295</v>
      </c>
      <c r="Q326" s="18" t="s">
        <v>1452</v>
      </c>
      <c r="R326" s="17"/>
    </row>
    <row r="327" customFormat="false" ht="23.85" hidden="false" customHeight="false" outlineLevel="0" collapsed="false">
      <c r="A327" s="17" t="s">
        <v>295</v>
      </c>
      <c r="B327" s="17" t="s">
        <v>1288</v>
      </c>
      <c r="C327" s="17" t="s">
        <v>1520</v>
      </c>
      <c r="D327" s="18" t="s">
        <v>1521</v>
      </c>
      <c r="E327" s="17" t="s">
        <v>172</v>
      </c>
      <c r="F327" s="19" t="n">
        <v>40</v>
      </c>
      <c r="G327" s="20"/>
      <c r="H327" s="20"/>
      <c r="I327" s="20"/>
      <c r="J327" s="20"/>
      <c r="K327" s="21" t="str">
        <f aca="false">IF(OR(G327="",H327="",I327=""),"",G327&amp;H327&amp;I327&amp;J327)</f>
        <v/>
      </c>
      <c r="L327" s="18"/>
      <c r="M327" s="18"/>
      <c r="N327" s="23" t="s">
        <v>7</v>
      </c>
      <c r="O327" s="17" t="str">
        <f aca="false">IF(K327="","",IF(COUNTIF($K$5:$K$327,K327)&gt;1,"DUPLICADO","Único"))</f>
        <v/>
      </c>
      <c r="P327" s="18" t="s">
        <v>295</v>
      </c>
      <c r="Q327" s="18" t="s">
        <v>1452</v>
      </c>
      <c r="R327" s="17"/>
    </row>
  </sheetData>
  <autoFilter ref="A4:R327"/>
  <mergeCells count="1">
    <mergeCell ref="A2:R2"/>
  </mergeCells>
  <conditionalFormatting sqref="O5:O327">
    <cfRule type="cellIs" priority="2" operator="equal" aboveAverage="0" equalAverage="0" bottom="0" percent="0" rank="0" text="" dxfId="8">
      <formula>"DUPLICADO"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11" min="7" style="0" width="13"/>
  </cols>
  <sheetData>
    <row r="1" customFormat="false" ht="17.35" hidden="false" customHeight="false" outlineLevel="0" collapsed="false">
      <c r="A1" s="14" t="s">
        <v>1522</v>
      </c>
    </row>
    <row r="2" customFormat="false" ht="30" hidden="false" customHeight="true" outlineLevel="0" collapsed="false">
      <c r="A2" s="15" t="s">
        <v>1523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24" hidden="false" customHeight="true" outlineLevel="0" collapsed="false">
      <c r="G3" s="25" t="s">
        <v>1524</v>
      </c>
      <c r="H3" s="25" t="s">
        <v>1525</v>
      </c>
      <c r="I3" s="25" t="s">
        <v>1526</v>
      </c>
      <c r="J3" s="25" t="s">
        <v>1527</v>
      </c>
      <c r="K3" s="25" t="s">
        <v>1528</v>
      </c>
    </row>
    <row r="4" customFormat="false" ht="31.5" hidden="false" customHeight="true" outlineLevel="0" collapsed="false">
      <c r="A4" s="16" t="s">
        <v>1529</v>
      </c>
      <c r="B4" s="16" t="s">
        <v>1530</v>
      </c>
      <c r="C4" s="16" t="s">
        <v>1531</v>
      </c>
      <c r="D4" s="16" t="s">
        <v>1532</v>
      </c>
      <c r="E4" s="16" t="s">
        <v>1533</v>
      </c>
      <c r="F4" s="16" t="s">
        <v>1534</v>
      </c>
      <c r="G4" s="16" t="s">
        <v>1535</v>
      </c>
      <c r="H4" s="16" t="s">
        <v>1536</v>
      </c>
      <c r="I4" s="16" t="s">
        <v>1537</v>
      </c>
      <c r="J4" s="16" t="s">
        <v>1538</v>
      </c>
      <c r="K4" s="16" t="s">
        <v>1539</v>
      </c>
    </row>
    <row r="5" customFormat="false" ht="15" hidden="false" customHeight="false" outlineLevel="0" collapsed="false">
      <c r="A5" s="26" t="s">
        <v>220</v>
      </c>
      <c r="B5" s="26" t="s">
        <v>1540</v>
      </c>
      <c r="C5" s="26" t="s">
        <v>80</v>
      </c>
      <c r="D5" s="26" t="s">
        <v>1541</v>
      </c>
      <c r="E5" s="26" t="s">
        <v>1542</v>
      </c>
      <c r="F5" s="26" t="s">
        <v>58</v>
      </c>
      <c r="G5" s="8" t="str">
        <f aca="false">"PC"&amp;$A5&amp;G$4&amp;$F5</f>
        <v>PC10055TR</v>
      </c>
      <c r="H5" s="8" t="str">
        <f aca="false">"PC"&amp;$A5&amp;H$4&amp;$F5</f>
        <v>PC10060TR</v>
      </c>
      <c r="I5" s="8" t="str">
        <f aca="false">"PC"&amp;$A5&amp;I$4&amp;$F5</f>
        <v>PC10070TR</v>
      </c>
      <c r="J5" s="8" t="str">
        <f aca="false">"PC"&amp;$A5&amp;J$4&amp;$F5</f>
        <v>PC10090TR</v>
      </c>
      <c r="K5" s="8" t="str">
        <f aca="false">"PC"&amp;$A5&amp;K$4&amp;$F5</f>
        <v>PC100C2TR</v>
      </c>
    </row>
    <row r="6" customFormat="false" ht="15" hidden="false" customHeight="false" outlineLevel="0" collapsed="false">
      <c r="A6" s="26" t="s">
        <v>225</v>
      </c>
      <c r="B6" s="26" t="s">
        <v>1540</v>
      </c>
      <c r="C6" s="26" t="s">
        <v>354</v>
      </c>
      <c r="D6" s="26" t="s">
        <v>1541</v>
      </c>
      <c r="E6" s="26" t="s">
        <v>1542</v>
      </c>
      <c r="F6" s="26" t="s">
        <v>58</v>
      </c>
      <c r="G6" s="8" t="str">
        <f aca="false">"PC"&amp;$A6&amp;G$4&amp;$F6</f>
        <v>PC10155TR</v>
      </c>
      <c r="H6" s="8" t="str">
        <f aca="false">"PC"&amp;$A6&amp;H$4&amp;$F6</f>
        <v>PC10160TR</v>
      </c>
      <c r="I6" s="8" t="str">
        <f aca="false">"PC"&amp;$A6&amp;I$4&amp;$F6</f>
        <v>PC10170TR</v>
      </c>
      <c r="J6" s="8" t="str">
        <f aca="false">"PC"&amp;$A6&amp;J$4&amp;$F6</f>
        <v>PC10190TR</v>
      </c>
      <c r="K6" s="8" t="str">
        <f aca="false">"PC"&amp;$A6&amp;K$4&amp;$F6</f>
        <v>PC101C2TR</v>
      </c>
    </row>
    <row r="7" customFormat="false" ht="15" hidden="false" customHeight="false" outlineLevel="0" collapsed="false">
      <c r="A7" s="26" t="s">
        <v>56</v>
      </c>
      <c r="B7" s="26" t="s">
        <v>1540</v>
      </c>
      <c r="C7" s="26" t="s">
        <v>1543</v>
      </c>
      <c r="D7" s="26" t="s">
        <v>6</v>
      </c>
      <c r="E7" s="26" t="s">
        <v>1542</v>
      </c>
      <c r="F7" s="26" t="s">
        <v>58</v>
      </c>
      <c r="G7" s="8" t="str">
        <f aca="false">"PC"&amp;$A7&amp;G$4&amp;$F7</f>
        <v>PC10255TR</v>
      </c>
      <c r="H7" s="8" t="str">
        <f aca="false">"PC"&amp;$A7&amp;H$4&amp;$F7</f>
        <v>PC10260TR</v>
      </c>
      <c r="I7" s="8" t="str">
        <f aca="false">"PC"&amp;$A7&amp;I$4&amp;$F7</f>
        <v>PC10270TR</v>
      </c>
      <c r="J7" s="8" t="str">
        <f aca="false">"PC"&amp;$A7&amp;J$4&amp;$F7</f>
        <v>PC10290TR</v>
      </c>
      <c r="K7" s="8" t="str">
        <f aca="false">"PC"&amp;$A7&amp;K$4&amp;$F7</f>
        <v>PC102C2TR</v>
      </c>
    </row>
    <row r="8" customFormat="false" ht="15" hidden="false" customHeight="false" outlineLevel="0" collapsed="false">
      <c r="A8" s="26" t="s">
        <v>71</v>
      </c>
      <c r="B8" s="26" t="s">
        <v>1540</v>
      </c>
      <c r="C8" s="26" t="s">
        <v>1544</v>
      </c>
      <c r="D8" s="26" t="s">
        <v>6</v>
      </c>
      <c r="E8" s="26" t="s">
        <v>1542</v>
      </c>
      <c r="F8" s="26" t="s">
        <v>58</v>
      </c>
      <c r="G8" s="8" t="str">
        <f aca="false">"PC"&amp;$A8&amp;G$4&amp;$F8</f>
        <v>PC10355TR</v>
      </c>
      <c r="H8" s="8" t="str">
        <f aca="false">"PC"&amp;$A8&amp;H$4&amp;$F8</f>
        <v>PC10360TR</v>
      </c>
      <c r="I8" s="8" t="str">
        <f aca="false">"PC"&amp;$A8&amp;I$4&amp;$F8</f>
        <v>PC10370TR</v>
      </c>
      <c r="J8" s="8" t="str">
        <f aca="false">"PC"&amp;$A8&amp;J$4&amp;$F8</f>
        <v>PC10390TR</v>
      </c>
      <c r="K8" s="8" t="str">
        <f aca="false">"PC"&amp;$A8&amp;K$4&amp;$F8</f>
        <v>PC103C2TR</v>
      </c>
    </row>
    <row r="9" customFormat="false" ht="15" hidden="false" customHeight="false" outlineLevel="0" collapsed="false">
      <c r="A9" s="26" t="s">
        <v>288</v>
      </c>
      <c r="B9" s="26" t="s">
        <v>1540</v>
      </c>
      <c r="C9" s="26" t="s">
        <v>1545</v>
      </c>
      <c r="D9" s="26" t="s">
        <v>6</v>
      </c>
      <c r="E9" s="26" t="s">
        <v>1542</v>
      </c>
      <c r="F9" s="26" t="s">
        <v>289</v>
      </c>
      <c r="G9" s="8" t="str">
        <f aca="false">"PC"&amp;$A9&amp;G$4&amp;$F9</f>
        <v>PC10455ZR</v>
      </c>
      <c r="H9" s="8" t="str">
        <f aca="false">"PC"&amp;$A9&amp;H$4&amp;$F9</f>
        <v>PC10460ZR</v>
      </c>
      <c r="I9" s="8" t="str">
        <f aca="false">"PC"&amp;$A9&amp;I$4&amp;$F9</f>
        <v>PC10470ZR</v>
      </c>
      <c r="J9" s="8" t="str">
        <f aca="false">"PC"&amp;$A9&amp;J$4&amp;$F9</f>
        <v>PC10490ZR</v>
      </c>
      <c r="K9" s="8" t="str">
        <f aca="false">"PC"&amp;$A9&amp;K$4&amp;$F9</f>
        <v>PC104C2ZR</v>
      </c>
    </row>
    <row r="10" customFormat="false" ht="15" hidden="false" customHeight="false" outlineLevel="0" collapsed="false">
      <c r="A10" s="26" t="s">
        <v>76</v>
      </c>
      <c r="B10" s="26" t="s">
        <v>1540</v>
      </c>
      <c r="C10" s="26" t="s">
        <v>1546</v>
      </c>
      <c r="D10" s="26" t="s">
        <v>6</v>
      </c>
      <c r="E10" s="26" t="s">
        <v>1542</v>
      </c>
      <c r="F10" s="26" t="s">
        <v>58</v>
      </c>
      <c r="G10" s="8" t="str">
        <f aca="false">"PC"&amp;$A10&amp;G$4&amp;$F10</f>
        <v>PC10555TR</v>
      </c>
      <c r="H10" s="8" t="str">
        <f aca="false">"PC"&amp;$A10&amp;H$4&amp;$F10</f>
        <v>PC10560TR</v>
      </c>
      <c r="I10" s="8" t="str">
        <f aca="false">"PC"&amp;$A10&amp;I$4&amp;$F10</f>
        <v>PC10570TR</v>
      </c>
      <c r="J10" s="8" t="str">
        <f aca="false">"PC"&amp;$A10&amp;J$4&amp;$F10</f>
        <v>PC10590TR</v>
      </c>
      <c r="K10" s="8" t="str">
        <f aca="false">"PC"&amp;$A10&amp;K$4&amp;$F10</f>
        <v>PC105C2TR</v>
      </c>
    </row>
    <row r="11" customFormat="false" ht="15" hidden="false" customHeight="false" outlineLevel="0" collapsed="false">
      <c r="A11" s="26" t="s">
        <v>66</v>
      </c>
      <c r="B11" s="26" t="s">
        <v>1540</v>
      </c>
      <c r="C11" s="26" t="s">
        <v>1547</v>
      </c>
      <c r="D11" s="26" t="s">
        <v>6</v>
      </c>
      <c r="E11" s="26" t="s">
        <v>1542</v>
      </c>
      <c r="F11" s="26" t="s">
        <v>58</v>
      </c>
      <c r="G11" s="8" t="str">
        <f aca="false">"PC"&amp;$A11&amp;G$4&amp;$F11</f>
        <v>PC10655TR</v>
      </c>
      <c r="H11" s="8" t="str">
        <f aca="false">"PC"&amp;$A11&amp;H$4&amp;$F11</f>
        <v>PC10660TR</v>
      </c>
      <c r="I11" s="8" t="str">
        <f aca="false">"PC"&amp;$A11&amp;I$4&amp;$F11</f>
        <v>PC10670TR</v>
      </c>
      <c r="J11" s="8" t="str">
        <f aca="false">"PC"&amp;$A11&amp;J$4&amp;$F11</f>
        <v>PC10690TR</v>
      </c>
      <c r="K11" s="8" t="str">
        <f aca="false">"PC"&amp;$A11&amp;K$4&amp;$F11</f>
        <v>PC106C2TR</v>
      </c>
    </row>
    <row r="12" customFormat="false" ht="15" hidden="false" customHeight="false" outlineLevel="0" collapsed="false">
      <c r="A12" s="26" t="s">
        <v>81</v>
      </c>
      <c r="B12" s="26" t="s">
        <v>1540</v>
      </c>
      <c r="C12" s="26" t="s">
        <v>1548</v>
      </c>
      <c r="D12" s="26" t="s">
        <v>6</v>
      </c>
      <c r="E12" s="26" t="s">
        <v>1542</v>
      </c>
      <c r="F12" s="26" t="s">
        <v>58</v>
      </c>
      <c r="G12" s="8" t="str">
        <f aca="false">"PC"&amp;$A12&amp;G$4&amp;$F12</f>
        <v>PC10755TR</v>
      </c>
      <c r="H12" s="8" t="str">
        <f aca="false">"PC"&amp;$A12&amp;H$4&amp;$F12</f>
        <v>PC10760TR</v>
      </c>
      <c r="I12" s="8" t="str">
        <f aca="false">"PC"&amp;$A12&amp;I$4&amp;$F12</f>
        <v>PC10770TR</v>
      </c>
      <c r="J12" s="8" t="str">
        <f aca="false">"PC"&amp;$A12&amp;J$4&amp;$F12</f>
        <v>PC10790TR</v>
      </c>
      <c r="K12" s="8" t="str">
        <f aca="false">"PC"&amp;$A12&amp;K$4&amp;$F12</f>
        <v>PC107C2TR</v>
      </c>
    </row>
    <row r="13" customFormat="false" ht="15" hidden="false" customHeight="false" outlineLevel="0" collapsed="false">
      <c r="A13" s="26" t="s">
        <v>108</v>
      </c>
      <c r="B13" s="26" t="s">
        <v>1549</v>
      </c>
      <c r="C13" s="26" t="s">
        <v>1550</v>
      </c>
      <c r="D13" s="26" t="s">
        <v>1541</v>
      </c>
      <c r="E13" s="26" t="s">
        <v>1542</v>
      </c>
      <c r="F13" s="26" t="s">
        <v>58</v>
      </c>
      <c r="G13" s="8" t="str">
        <f aca="false">"PC"&amp;$A13&amp;G$4&amp;$F13</f>
        <v>PC20055TR</v>
      </c>
      <c r="H13" s="8" t="str">
        <f aca="false">"PC"&amp;$A13&amp;H$4&amp;$F13</f>
        <v>PC20060TR</v>
      </c>
      <c r="I13" s="8" t="str">
        <f aca="false">"PC"&amp;$A13&amp;I$4&amp;$F13</f>
        <v>PC20070TR</v>
      </c>
      <c r="J13" s="8" t="str">
        <f aca="false">"PC"&amp;$A13&amp;J$4&amp;$F13</f>
        <v>PC20090TR</v>
      </c>
      <c r="K13" s="8" t="str">
        <f aca="false">"PC"&amp;$A13&amp;K$4&amp;$F13</f>
        <v>PC200C2TR</v>
      </c>
    </row>
    <row r="14" customFormat="false" ht="15" hidden="false" customHeight="false" outlineLevel="0" collapsed="false">
      <c r="A14" s="26" t="s">
        <v>96</v>
      </c>
      <c r="B14" s="26" t="s">
        <v>1549</v>
      </c>
      <c r="C14" s="26" t="s">
        <v>1551</v>
      </c>
      <c r="D14" s="26" t="s">
        <v>1541</v>
      </c>
      <c r="E14" s="26" t="s">
        <v>1542</v>
      </c>
      <c r="F14" s="26" t="s">
        <v>58</v>
      </c>
      <c r="G14" s="8" t="str">
        <f aca="false">"PC"&amp;$A14&amp;G$4&amp;$F14</f>
        <v>PC20155TR</v>
      </c>
      <c r="H14" s="8" t="str">
        <f aca="false">"PC"&amp;$A14&amp;H$4&amp;$F14</f>
        <v>PC20160TR</v>
      </c>
      <c r="I14" s="8" t="str">
        <f aca="false">"PC"&amp;$A14&amp;I$4&amp;$F14</f>
        <v>PC20170TR</v>
      </c>
      <c r="J14" s="8" t="str">
        <f aca="false">"PC"&amp;$A14&amp;J$4&amp;$F14</f>
        <v>PC20190TR</v>
      </c>
      <c r="K14" s="8" t="str">
        <f aca="false">"PC"&amp;$A14&amp;K$4&amp;$F14</f>
        <v>PC201C2TR</v>
      </c>
    </row>
    <row r="15" customFormat="false" ht="15" hidden="false" customHeight="false" outlineLevel="0" collapsed="false">
      <c r="A15" s="26" t="s">
        <v>102</v>
      </c>
      <c r="B15" s="26" t="s">
        <v>1549</v>
      </c>
      <c r="C15" s="26" t="s">
        <v>1552</v>
      </c>
      <c r="D15" s="26" t="s">
        <v>1541</v>
      </c>
      <c r="E15" s="26" t="s">
        <v>1542</v>
      </c>
      <c r="F15" s="26" t="s">
        <v>58</v>
      </c>
      <c r="G15" s="8" t="str">
        <f aca="false">"PC"&amp;$A15&amp;G$4&amp;$F15</f>
        <v>PC20355TR</v>
      </c>
      <c r="H15" s="8" t="str">
        <f aca="false">"PC"&amp;$A15&amp;H$4&amp;$F15</f>
        <v>PC20360TR</v>
      </c>
      <c r="I15" s="8" t="str">
        <f aca="false">"PC"&amp;$A15&amp;I$4&amp;$F15</f>
        <v>PC20370TR</v>
      </c>
      <c r="J15" s="8" t="str">
        <f aca="false">"PC"&amp;$A15&amp;J$4&amp;$F15</f>
        <v>PC20390TR</v>
      </c>
      <c r="K15" s="8" t="str">
        <f aca="false">"PC"&amp;$A15&amp;K$4&amp;$F15</f>
        <v>PC203C2TR</v>
      </c>
    </row>
    <row r="16" customFormat="false" ht="15" hidden="false" customHeight="false" outlineLevel="0" collapsed="false">
      <c r="A16" s="26" t="s">
        <v>187</v>
      </c>
      <c r="B16" s="26" t="s">
        <v>1549</v>
      </c>
      <c r="C16" s="26" t="s">
        <v>1553</v>
      </c>
      <c r="D16" s="26" t="s">
        <v>6</v>
      </c>
      <c r="E16" s="26" t="s">
        <v>1542</v>
      </c>
      <c r="F16" s="26" t="s">
        <v>58</v>
      </c>
      <c r="G16" s="8" t="str">
        <f aca="false">"PC"&amp;$A16&amp;G$4&amp;$F16</f>
        <v>PC20455TR</v>
      </c>
      <c r="H16" s="8" t="str">
        <f aca="false">"PC"&amp;$A16&amp;H$4&amp;$F16</f>
        <v>PC20460TR</v>
      </c>
      <c r="I16" s="8" t="str">
        <f aca="false">"PC"&amp;$A16&amp;I$4&amp;$F16</f>
        <v>PC20470TR</v>
      </c>
      <c r="J16" s="8" t="str">
        <f aca="false">"PC"&amp;$A16&amp;J$4&amp;$F16</f>
        <v>PC20490TR</v>
      </c>
      <c r="K16" s="8" t="str">
        <f aca="false">"PC"&amp;$A16&amp;K$4&amp;$F16</f>
        <v>PC204C2TR</v>
      </c>
    </row>
    <row r="17" customFormat="false" ht="15" hidden="false" customHeight="false" outlineLevel="0" collapsed="false">
      <c r="A17" s="26" t="s">
        <v>205</v>
      </c>
      <c r="B17" s="26" t="s">
        <v>1549</v>
      </c>
      <c r="C17" s="26" t="s">
        <v>1554</v>
      </c>
      <c r="D17" s="26" t="s">
        <v>6</v>
      </c>
      <c r="E17" s="26" t="s">
        <v>1542</v>
      </c>
      <c r="F17" s="26" t="s">
        <v>58</v>
      </c>
      <c r="G17" s="8" t="str">
        <f aca="false">"PC"&amp;$A17&amp;G$4&amp;$F17</f>
        <v>PC20555TR</v>
      </c>
      <c r="H17" s="8" t="str">
        <f aca="false">"PC"&amp;$A17&amp;H$4&amp;$F17</f>
        <v>PC20560TR</v>
      </c>
      <c r="I17" s="8" t="str">
        <f aca="false">"PC"&amp;$A17&amp;I$4&amp;$F17</f>
        <v>PC20570TR</v>
      </c>
      <c r="J17" s="8" t="str">
        <f aca="false">"PC"&amp;$A17&amp;J$4&amp;$F17</f>
        <v>PC20590TR</v>
      </c>
      <c r="K17" s="8" t="str">
        <f aca="false">"PC"&amp;$A17&amp;K$4&amp;$F17</f>
        <v>PC205C2TR</v>
      </c>
    </row>
    <row r="18" customFormat="false" ht="15" hidden="false" customHeight="false" outlineLevel="0" collapsed="false">
      <c r="A18" s="26" t="s">
        <v>115</v>
      </c>
      <c r="B18" s="26" t="s">
        <v>1549</v>
      </c>
      <c r="C18" s="26" t="s">
        <v>1555</v>
      </c>
      <c r="D18" s="26" t="s">
        <v>6</v>
      </c>
      <c r="E18" s="26" t="s">
        <v>1542</v>
      </c>
      <c r="F18" s="26" t="s">
        <v>58</v>
      </c>
      <c r="G18" s="8" t="str">
        <f aca="false">"PC"&amp;$A18&amp;G$4&amp;$F18</f>
        <v>PC20655TR</v>
      </c>
      <c r="H18" s="8" t="str">
        <f aca="false">"PC"&amp;$A18&amp;H$4&amp;$F18</f>
        <v>PC20660TR</v>
      </c>
      <c r="I18" s="8" t="str">
        <f aca="false">"PC"&amp;$A18&amp;I$4&amp;$F18</f>
        <v>PC20670TR</v>
      </c>
      <c r="J18" s="8" t="str">
        <f aca="false">"PC"&amp;$A18&amp;J$4&amp;$F18</f>
        <v>PC20690TR</v>
      </c>
      <c r="K18" s="8" t="str">
        <f aca="false">"PC"&amp;$A18&amp;K$4&amp;$F18</f>
        <v>PC206C2TR</v>
      </c>
    </row>
    <row r="19" customFormat="false" ht="15" hidden="false" customHeight="false" outlineLevel="0" collapsed="false">
      <c r="A19" s="26" t="s">
        <v>174</v>
      </c>
      <c r="B19" s="26" t="s">
        <v>1549</v>
      </c>
      <c r="C19" s="26" t="s">
        <v>101</v>
      </c>
      <c r="D19" s="26" t="s">
        <v>6</v>
      </c>
      <c r="E19" s="26" t="s">
        <v>1542</v>
      </c>
      <c r="F19" s="26" t="s">
        <v>58</v>
      </c>
      <c r="G19" s="8" t="str">
        <f aca="false">"PC"&amp;$A19&amp;G$4&amp;$F19</f>
        <v>PC20755TR</v>
      </c>
      <c r="H19" s="8" t="str">
        <f aca="false">"PC"&amp;$A19&amp;H$4&amp;$F19</f>
        <v>PC20760TR</v>
      </c>
      <c r="I19" s="8" t="str">
        <f aca="false">"PC"&amp;$A19&amp;I$4&amp;$F19</f>
        <v>PC20770TR</v>
      </c>
      <c r="J19" s="8" t="str">
        <f aca="false">"PC"&amp;$A19&amp;J$4&amp;$F19</f>
        <v>PC20790TR</v>
      </c>
      <c r="K19" s="8" t="str">
        <f aca="false">"PC"&amp;$A19&amp;K$4&amp;$F19</f>
        <v>PC207C2TR</v>
      </c>
    </row>
    <row r="20" customFormat="false" ht="15" hidden="false" customHeight="false" outlineLevel="0" collapsed="false">
      <c r="A20" s="26" t="s">
        <v>255</v>
      </c>
      <c r="B20" s="26" t="s">
        <v>1556</v>
      </c>
      <c r="C20" s="26" t="s">
        <v>1557</v>
      </c>
      <c r="D20" s="26" t="s">
        <v>1541</v>
      </c>
      <c r="E20" s="26" t="s">
        <v>1542</v>
      </c>
      <c r="F20" s="26" t="s">
        <v>58</v>
      </c>
      <c r="G20" s="8" t="str">
        <f aca="false">"PC"&amp;$A20&amp;G$4&amp;$F20</f>
        <v>PC30055TR</v>
      </c>
      <c r="H20" s="8" t="str">
        <f aca="false">"PC"&amp;$A20&amp;H$4&amp;$F20</f>
        <v>PC30060TR</v>
      </c>
      <c r="I20" s="8" t="str">
        <f aca="false">"PC"&amp;$A20&amp;I$4&amp;$F20</f>
        <v>PC30070TR</v>
      </c>
      <c r="J20" s="8" t="str">
        <f aca="false">"PC"&amp;$A20&amp;J$4&amp;$F20</f>
        <v>PC30090TR</v>
      </c>
      <c r="K20" s="8" t="str">
        <f aca="false">"PC"&amp;$A20&amp;K$4&amp;$F20</f>
        <v>PC300C2TR</v>
      </c>
    </row>
    <row r="21" customFormat="false" ht="15" hidden="false" customHeight="false" outlineLevel="0" collapsed="false">
      <c r="A21" s="26" t="s">
        <v>210</v>
      </c>
      <c r="B21" s="26" t="s">
        <v>1556</v>
      </c>
      <c r="C21" s="26" t="s">
        <v>1558</v>
      </c>
      <c r="D21" s="26" t="s">
        <v>6</v>
      </c>
      <c r="E21" s="26" t="s">
        <v>1542</v>
      </c>
      <c r="F21" s="26" t="s">
        <v>58</v>
      </c>
      <c r="G21" s="8" t="str">
        <f aca="false">"PC"&amp;$A21&amp;G$4&amp;$F21</f>
        <v>PC30155TR</v>
      </c>
      <c r="H21" s="8" t="str">
        <f aca="false">"PC"&amp;$A21&amp;H$4&amp;$F21</f>
        <v>PC30160TR</v>
      </c>
      <c r="I21" s="8" t="str">
        <f aca="false">"PC"&amp;$A21&amp;I$4&amp;$F21</f>
        <v>PC30170TR</v>
      </c>
      <c r="J21" s="8" t="str">
        <f aca="false">"PC"&amp;$A21&amp;J$4&amp;$F21</f>
        <v>PC30190TR</v>
      </c>
      <c r="K21" s="8" t="str">
        <f aca="false">"PC"&amp;$A21&amp;K$4&amp;$F21</f>
        <v>PC301C2TR</v>
      </c>
    </row>
    <row r="22" customFormat="false" ht="15" hidden="false" customHeight="false" outlineLevel="0" collapsed="false">
      <c r="A22" s="26" t="s">
        <v>241</v>
      </c>
      <c r="B22" s="26" t="s">
        <v>1559</v>
      </c>
      <c r="C22" s="26" t="s">
        <v>1560</v>
      </c>
      <c r="D22" s="26" t="s">
        <v>1541</v>
      </c>
      <c r="E22" s="26" t="s">
        <v>1542</v>
      </c>
      <c r="F22" s="26" t="s">
        <v>58</v>
      </c>
      <c r="G22" s="8" t="str">
        <f aca="false">"PC"&amp;$A22&amp;G$4&amp;$F22</f>
        <v>PC40055TR</v>
      </c>
      <c r="H22" s="8" t="str">
        <f aca="false">"PC"&amp;$A22&amp;H$4&amp;$F22</f>
        <v>PC40060TR</v>
      </c>
      <c r="I22" s="8" t="str">
        <f aca="false">"PC"&amp;$A22&amp;I$4&amp;$F22</f>
        <v>PC40070TR</v>
      </c>
      <c r="J22" s="8" t="str">
        <f aca="false">"PC"&amp;$A22&amp;J$4&amp;$F22</f>
        <v>PC40090TR</v>
      </c>
      <c r="K22" s="8" t="str">
        <f aca="false">"PC"&amp;$A22&amp;K$4&amp;$F22</f>
        <v>PC400C2TR</v>
      </c>
    </row>
    <row r="23" customFormat="false" ht="15" hidden="false" customHeight="false" outlineLevel="0" collapsed="false">
      <c r="A23" s="26" t="s">
        <v>246</v>
      </c>
      <c r="B23" s="26" t="s">
        <v>1559</v>
      </c>
      <c r="C23" s="26" t="s">
        <v>1561</v>
      </c>
      <c r="D23" s="26" t="s">
        <v>1541</v>
      </c>
      <c r="E23" s="26" t="s">
        <v>1542</v>
      </c>
      <c r="F23" s="26" t="s">
        <v>58</v>
      </c>
      <c r="G23" s="8" t="str">
        <f aca="false">"PC"&amp;$A23&amp;G$4&amp;$F23</f>
        <v>PC40155TR</v>
      </c>
      <c r="H23" s="8" t="str">
        <f aca="false">"PC"&amp;$A23&amp;H$4&amp;$F23</f>
        <v>PC40160TR</v>
      </c>
      <c r="I23" s="8" t="str">
        <f aca="false">"PC"&amp;$A23&amp;I$4&amp;$F23</f>
        <v>PC40170TR</v>
      </c>
      <c r="J23" s="8" t="str">
        <f aca="false">"PC"&amp;$A23&amp;J$4&amp;$F23</f>
        <v>PC40190TR</v>
      </c>
      <c r="K23" s="8" t="str">
        <f aca="false">"PC"&amp;$A23&amp;K$4&amp;$F23</f>
        <v>PC401C2TR</v>
      </c>
    </row>
    <row r="24" customFormat="false" ht="15" hidden="false" customHeight="false" outlineLevel="0" collapsed="false">
      <c r="A24" s="26" t="s">
        <v>264</v>
      </c>
      <c r="B24" s="26" t="s">
        <v>1559</v>
      </c>
      <c r="C24" s="26" t="s">
        <v>365</v>
      </c>
      <c r="D24" s="26" t="s">
        <v>1541</v>
      </c>
      <c r="E24" s="26" t="s">
        <v>1542</v>
      </c>
      <c r="F24" s="26" t="s">
        <v>58</v>
      </c>
      <c r="G24" s="8" t="str">
        <f aca="false">"PC"&amp;$A24&amp;G$4&amp;$F24</f>
        <v>PC40255TR</v>
      </c>
      <c r="H24" s="8" t="str">
        <f aca="false">"PC"&amp;$A24&amp;H$4&amp;$F24</f>
        <v>PC40260TR</v>
      </c>
      <c r="I24" s="8" t="str">
        <f aca="false">"PC"&amp;$A24&amp;I$4&amp;$F24</f>
        <v>PC40270TR</v>
      </c>
      <c r="J24" s="8" t="str">
        <f aca="false">"PC"&amp;$A24&amp;J$4&amp;$F24</f>
        <v>PC40290TR</v>
      </c>
      <c r="K24" s="8" t="str">
        <f aca="false">"PC"&amp;$A24&amp;K$4&amp;$F24</f>
        <v>PC402C2TR</v>
      </c>
    </row>
    <row r="25" customFormat="false" ht="15" hidden="false" customHeight="false" outlineLevel="0" collapsed="false">
      <c r="A25" s="26" t="s">
        <v>493</v>
      </c>
      <c r="B25" s="26" t="s">
        <v>1559</v>
      </c>
      <c r="C25" s="26" t="s">
        <v>1562</v>
      </c>
      <c r="D25" s="26" t="s">
        <v>1541</v>
      </c>
      <c r="E25" s="26" t="s">
        <v>1563</v>
      </c>
      <c r="F25" s="26" t="s">
        <v>58</v>
      </c>
      <c r="G25" s="8" t="str">
        <f aca="false">"PC"&amp;$A25&amp;G$4&amp;$F25</f>
        <v>PC40355TR</v>
      </c>
      <c r="H25" s="8" t="str">
        <f aca="false">"PC"&amp;$A25&amp;H$4&amp;$F25</f>
        <v>PC40360TR</v>
      </c>
      <c r="I25" s="8" t="str">
        <f aca="false">"PC"&amp;$A25&amp;I$4&amp;$F25</f>
        <v>PC40370TR</v>
      </c>
      <c r="J25" s="8" t="str">
        <f aca="false">"PC"&amp;$A25&amp;J$4&amp;$F25</f>
        <v>PC40390TR</v>
      </c>
      <c r="K25" s="8" t="str">
        <f aca="false">"PC"&amp;$A25&amp;K$4&amp;$F25</f>
        <v>PC403C2TR</v>
      </c>
    </row>
    <row r="26" customFormat="false" ht="15" hidden="false" customHeight="false" outlineLevel="0" collapsed="false">
      <c r="A26" s="26" t="s">
        <v>230</v>
      </c>
      <c r="B26" s="26" t="s">
        <v>1559</v>
      </c>
      <c r="C26" s="26" t="s">
        <v>1564</v>
      </c>
      <c r="D26" s="26" t="s">
        <v>1541</v>
      </c>
      <c r="E26" s="26" t="s">
        <v>1542</v>
      </c>
      <c r="F26" s="26" t="s">
        <v>58</v>
      </c>
      <c r="G26" s="8" t="str">
        <f aca="false">"PC"&amp;$A26&amp;G$4&amp;$F26</f>
        <v>PC40455TR</v>
      </c>
      <c r="H26" s="8" t="str">
        <f aca="false">"PC"&amp;$A26&amp;H$4&amp;$F26</f>
        <v>PC40460TR</v>
      </c>
      <c r="I26" s="8" t="str">
        <f aca="false">"PC"&amp;$A26&amp;I$4&amp;$F26</f>
        <v>PC40470TR</v>
      </c>
      <c r="J26" s="8" t="str">
        <f aca="false">"PC"&amp;$A26&amp;J$4&amp;$F26</f>
        <v>PC40490TR</v>
      </c>
      <c r="K26" s="8" t="str">
        <f aca="false">"PC"&amp;$A26&amp;K$4&amp;$F26</f>
        <v>PC404C2TR</v>
      </c>
    </row>
    <row r="27" customFormat="false" ht="15" hidden="false" customHeight="false" outlineLevel="0" collapsed="false">
      <c r="A27" s="26" t="s">
        <v>507</v>
      </c>
      <c r="B27" s="26" t="s">
        <v>1559</v>
      </c>
      <c r="C27" s="26" t="s">
        <v>129</v>
      </c>
      <c r="D27" s="26" t="s">
        <v>1541</v>
      </c>
      <c r="E27" s="26" t="s">
        <v>1563</v>
      </c>
      <c r="F27" s="26" t="s">
        <v>58</v>
      </c>
      <c r="G27" s="8" t="str">
        <f aca="false">"PC"&amp;$A27&amp;G$4&amp;$F27</f>
        <v>PC40555TR</v>
      </c>
      <c r="H27" s="8" t="str">
        <f aca="false">"PC"&amp;$A27&amp;H$4&amp;$F27</f>
        <v>PC40560TR</v>
      </c>
      <c r="I27" s="8" t="str">
        <f aca="false">"PC"&amp;$A27&amp;I$4&amp;$F27</f>
        <v>PC40570TR</v>
      </c>
      <c r="J27" s="8" t="str">
        <f aca="false">"PC"&amp;$A27&amp;J$4&amp;$F27</f>
        <v>PC40590TR</v>
      </c>
      <c r="K27" s="8" t="str">
        <f aca="false">"PC"&amp;$A27&amp;K$4&amp;$F27</f>
        <v>PC405C2TR</v>
      </c>
    </row>
    <row r="28" customFormat="false" ht="15" hidden="false" customHeight="false" outlineLevel="0" collapsed="false">
      <c r="A28" s="26" t="s">
        <v>269</v>
      </c>
      <c r="B28" s="26" t="s">
        <v>1559</v>
      </c>
      <c r="C28" s="26" t="s">
        <v>1565</v>
      </c>
      <c r="D28" s="26" t="s">
        <v>6</v>
      </c>
      <c r="E28" s="26" t="s">
        <v>1542</v>
      </c>
      <c r="F28" s="26" t="s">
        <v>58</v>
      </c>
      <c r="G28" s="8" t="str">
        <f aca="false">"PC"&amp;$A28&amp;G$4&amp;$F28</f>
        <v>PC40655TR</v>
      </c>
      <c r="H28" s="8" t="str">
        <f aca="false">"PC"&amp;$A28&amp;H$4&amp;$F28</f>
        <v>PC40660TR</v>
      </c>
      <c r="I28" s="8" t="str">
        <f aca="false">"PC"&amp;$A28&amp;I$4&amp;$F28</f>
        <v>PC40670TR</v>
      </c>
      <c r="J28" s="8" t="str">
        <f aca="false">"PC"&amp;$A28&amp;J$4&amp;$F28</f>
        <v>PC40690TR</v>
      </c>
      <c r="K28" s="8" t="str">
        <f aca="false">"PC"&amp;$A28&amp;K$4&amp;$F28</f>
        <v>PC406C2TR</v>
      </c>
    </row>
    <row r="29" customFormat="false" ht="15" hidden="false" customHeight="false" outlineLevel="0" collapsed="false">
      <c r="A29" s="26" t="s">
        <v>236</v>
      </c>
      <c r="B29" s="26" t="s">
        <v>1559</v>
      </c>
      <c r="C29" s="26" t="s">
        <v>1566</v>
      </c>
      <c r="D29" s="26" t="s">
        <v>6</v>
      </c>
      <c r="E29" s="26" t="s">
        <v>1542</v>
      </c>
      <c r="F29" s="26" t="s">
        <v>58</v>
      </c>
      <c r="G29" s="8" t="str">
        <f aca="false">"PC"&amp;$A29&amp;G$4&amp;$F29</f>
        <v>PC40755TR</v>
      </c>
      <c r="H29" s="8" t="str">
        <f aca="false">"PC"&amp;$A29&amp;H$4&amp;$F29</f>
        <v>PC40760TR</v>
      </c>
      <c r="I29" s="8" t="str">
        <f aca="false">"PC"&amp;$A29&amp;I$4&amp;$F29</f>
        <v>PC40770TR</v>
      </c>
      <c r="J29" s="8" t="str">
        <f aca="false">"PC"&amp;$A29&amp;J$4&amp;$F29</f>
        <v>PC40790TR</v>
      </c>
      <c r="K29" s="8" t="str">
        <f aca="false">"PC"&amp;$A29&amp;K$4&amp;$F29</f>
        <v>PC407C2TR</v>
      </c>
    </row>
    <row r="30" customFormat="false" ht="15" hidden="false" customHeight="false" outlineLevel="0" collapsed="false">
      <c r="A30" s="26" t="s">
        <v>279</v>
      </c>
      <c r="B30" s="26" t="s">
        <v>1559</v>
      </c>
      <c r="C30" s="26" t="s">
        <v>154</v>
      </c>
      <c r="D30" s="26" t="s">
        <v>6</v>
      </c>
      <c r="E30" s="26" t="s">
        <v>1542</v>
      </c>
      <c r="F30" s="26" t="s">
        <v>58</v>
      </c>
      <c r="G30" s="8" t="str">
        <f aca="false">"PC"&amp;$A30&amp;G$4&amp;$F30</f>
        <v>PC40855TR</v>
      </c>
      <c r="H30" s="8" t="str">
        <f aca="false">"PC"&amp;$A30&amp;H$4&amp;$F30</f>
        <v>PC40860TR</v>
      </c>
      <c r="I30" s="8" t="str">
        <f aca="false">"PC"&amp;$A30&amp;I$4&amp;$F30</f>
        <v>PC40870TR</v>
      </c>
      <c r="J30" s="8" t="str">
        <f aca="false">"PC"&amp;$A30&amp;J$4&amp;$F30</f>
        <v>PC40890TR</v>
      </c>
      <c r="K30" s="8" t="str">
        <f aca="false">"PC"&amp;$A30&amp;K$4&amp;$F30</f>
        <v>PC408C2TR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56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4" t="s">
        <v>1567</v>
      </c>
    </row>
    <row r="2" customFormat="false" ht="15" hidden="false" customHeight="false" outlineLevel="0" collapsed="false">
      <c r="A2" s="2" t="s">
        <v>1568</v>
      </c>
    </row>
    <row r="4" customFormat="false" ht="31.5" hidden="false" customHeight="true" outlineLevel="0" collapsed="false">
      <c r="A4" s="16" t="s">
        <v>3</v>
      </c>
      <c r="B4" s="16" t="s">
        <v>1569</v>
      </c>
      <c r="C4" s="16" t="s">
        <v>1570</v>
      </c>
      <c r="D4" s="16" t="s">
        <v>1571</v>
      </c>
      <c r="E4" s="16" t="s">
        <v>1572</v>
      </c>
      <c r="F4" s="16" t="s">
        <v>1573</v>
      </c>
      <c r="G4" s="16" t="s">
        <v>1574</v>
      </c>
    </row>
    <row r="5" customFormat="false" ht="15" hidden="false" customHeight="false" outlineLevel="0" collapsed="false">
      <c r="A5" s="17" t="s">
        <v>51</v>
      </c>
      <c r="B5" s="17" t="s">
        <v>1575</v>
      </c>
      <c r="C5" s="27" t="s">
        <v>55</v>
      </c>
      <c r="D5" s="18" t="s">
        <v>1576</v>
      </c>
      <c r="E5" s="28" t="s">
        <v>1541</v>
      </c>
      <c r="F5" s="18"/>
      <c r="G5" s="17" t="n">
        <f aca="false">COUNTIFS(SKUs!$A$5:$A$327,A5,SKUs!$G$5:$G$327,C5)</f>
        <v>48</v>
      </c>
    </row>
    <row r="6" customFormat="false" ht="15" hidden="false" customHeight="false" outlineLevel="0" collapsed="false">
      <c r="A6" s="17" t="s">
        <v>51</v>
      </c>
      <c r="B6" s="17" t="s">
        <v>1575</v>
      </c>
      <c r="C6" s="27" t="s">
        <v>173</v>
      </c>
      <c r="D6" s="18" t="s">
        <v>1577</v>
      </c>
      <c r="E6" s="28" t="s">
        <v>1541</v>
      </c>
      <c r="F6" s="18"/>
      <c r="G6" s="17" t="n">
        <f aca="false">COUNTIFS(SKUs!$A$5:$A$327,A6,SKUs!$G$5:$G$327,C6)</f>
        <v>24</v>
      </c>
    </row>
    <row r="7" customFormat="false" ht="15" hidden="false" customHeight="false" outlineLevel="0" collapsed="false">
      <c r="A7" s="17" t="s">
        <v>51</v>
      </c>
      <c r="B7" s="17" t="s">
        <v>1578</v>
      </c>
      <c r="C7" s="27" t="s">
        <v>225</v>
      </c>
      <c r="D7" s="18" t="s">
        <v>1579</v>
      </c>
      <c r="E7" s="28" t="s">
        <v>1541</v>
      </c>
      <c r="F7" s="18" t="s">
        <v>1580</v>
      </c>
      <c r="G7" s="17" t="n">
        <f aca="false">COUNTIFS(SKUs!$A$5:$A$327,A7,SKUs!$H$5:$H$327,C7,SKUs!$G$5:$G$327,"GL")</f>
        <v>2</v>
      </c>
    </row>
    <row r="8" customFormat="false" ht="15" hidden="false" customHeight="false" outlineLevel="0" collapsed="false">
      <c r="A8" s="17" t="s">
        <v>51</v>
      </c>
      <c r="B8" s="17" t="s">
        <v>1578</v>
      </c>
      <c r="C8" s="27" t="s">
        <v>56</v>
      </c>
      <c r="D8" s="18" t="s">
        <v>1581</v>
      </c>
      <c r="E8" s="29" t="s">
        <v>6</v>
      </c>
      <c r="F8" s="18"/>
      <c r="G8" s="17" t="n">
        <f aca="false">COUNTIFS(SKUs!$A$5:$A$327,A8,SKUs!$H$5:$H$327,C8,SKUs!$G$5:$G$327,"GL")</f>
        <v>1</v>
      </c>
    </row>
    <row r="9" customFormat="false" ht="15" hidden="false" customHeight="false" outlineLevel="0" collapsed="false">
      <c r="A9" s="17" t="s">
        <v>51</v>
      </c>
      <c r="B9" s="17" t="s">
        <v>1578</v>
      </c>
      <c r="C9" s="27" t="s">
        <v>71</v>
      </c>
      <c r="D9" s="18" t="s">
        <v>1582</v>
      </c>
      <c r="E9" s="29" t="s">
        <v>6</v>
      </c>
      <c r="F9" s="18"/>
      <c r="G9" s="17" t="n">
        <f aca="false">COUNTIFS(SKUs!$A$5:$A$327,A9,SKUs!$H$5:$H$327,C9,SKUs!$G$5:$G$327,"GL")</f>
        <v>1</v>
      </c>
    </row>
    <row r="10" customFormat="false" ht="15" hidden="false" customHeight="false" outlineLevel="0" collapsed="false">
      <c r="A10" s="17" t="s">
        <v>51</v>
      </c>
      <c r="B10" s="17" t="s">
        <v>1578</v>
      </c>
      <c r="C10" s="27" t="s">
        <v>288</v>
      </c>
      <c r="D10" s="18" t="s">
        <v>1583</v>
      </c>
      <c r="E10" s="29" t="s">
        <v>6</v>
      </c>
      <c r="F10" s="18"/>
      <c r="G10" s="17" t="n">
        <f aca="false">COUNTIFS(SKUs!$A$5:$A$327,A10,SKUs!$H$5:$H$327,C10,SKUs!$G$5:$G$327,"GL")</f>
        <v>1</v>
      </c>
    </row>
    <row r="11" customFormat="false" ht="15" hidden="false" customHeight="false" outlineLevel="0" collapsed="false">
      <c r="A11" s="17" t="s">
        <v>51</v>
      </c>
      <c r="B11" s="17" t="s">
        <v>1578</v>
      </c>
      <c r="C11" s="27" t="s">
        <v>76</v>
      </c>
      <c r="D11" s="18" t="s">
        <v>1584</v>
      </c>
      <c r="E11" s="29" t="s">
        <v>6</v>
      </c>
      <c r="F11" s="18"/>
      <c r="G11" s="17" t="n">
        <f aca="false">COUNTIFS(SKUs!$A$5:$A$327,A11,SKUs!$H$5:$H$327,C11,SKUs!$G$5:$G$327,"GL")</f>
        <v>1</v>
      </c>
    </row>
    <row r="12" customFormat="false" ht="15" hidden="false" customHeight="false" outlineLevel="0" collapsed="false">
      <c r="A12" s="17" t="s">
        <v>51</v>
      </c>
      <c r="B12" s="17" t="s">
        <v>1578</v>
      </c>
      <c r="C12" s="27" t="s">
        <v>66</v>
      </c>
      <c r="D12" s="18" t="s">
        <v>1585</v>
      </c>
      <c r="E12" s="29" t="s">
        <v>6</v>
      </c>
      <c r="F12" s="18"/>
      <c r="G12" s="17" t="n">
        <f aca="false">COUNTIFS(SKUs!$A$5:$A$327,A12,SKUs!$H$5:$H$327,C12,SKUs!$G$5:$G$327,"GL")</f>
        <v>1</v>
      </c>
    </row>
    <row r="13" customFormat="false" ht="15" hidden="false" customHeight="false" outlineLevel="0" collapsed="false">
      <c r="A13" s="17" t="s">
        <v>51</v>
      </c>
      <c r="B13" s="17" t="s">
        <v>1578</v>
      </c>
      <c r="C13" s="27" t="s">
        <v>81</v>
      </c>
      <c r="D13" s="18" t="s">
        <v>1586</v>
      </c>
      <c r="E13" s="29" t="s">
        <v>6</v>
      </c>
      <c r="F13" s="18"/>
      <c r="G13" s="17" t="n">
        <f aca="false">COUNTIFS(SKUs!$A$5:$A$327,A13,SKUs!$H$5:$H$327,C13,SKUs!$G$5:$G$327,"GL")</f>
        <v>3</v>
      </c>
    </row>
    <row r="14" customFormat="false" ht="15" hidden="false" customHeight="false" outlineLevel="0" collapsed="false">
      <c r="A14" s="17" t="s">
        <v>51</v>
      </c>
      <c r="B14" s="17" t="s">
        <v>1578</v>
      </c>
      <c r="C14" s="27" t="s">
        <v>356</v>
      </c>
      <c r="D14" s="18" t="s">
        <v>1587</v>
      </c>
      <c r="E14" s="29" t="s">
        <v>6</v>
      </c>
      <c r="F14" s="18"/>
      <c r="G14" s="17" t="n">
        <f aca="false">COUNTIFS(SKUs!$A$5:$A$327,A14,SKUs!$H$5:$H$327,C14,SKUs!$G$5:$G$327,"GL")</f>
        <v>1</v>
      </c>
    </row>
    <row r="15" customFormat="false" ht="15" hidden="false" customHeight="false" outlineLevel="0" collapsed="false">
      <c r="A15" s="17" t="s">
        <v>51</v>
      </c>
      <c r="B15" s="17" t="s">
        <v>1578</v>
      </c>
      <c r="C15" s="27" t="s">
        <v>336</v>
      </c>
      <c r="D15" s="18" t="s">
        <v>1588</v>
      </c>
      <c r="E15" s="29" t="s">
        <v>6</v>
      </c>
      <c r="F15" s="18"/>
      <c r="G15" s="17" t="n">
        <f aca="false">COUNTIFS(SKUs!$A$5:$A$327,A15,SKUs!$H$5:$H$327,C15,SKUs!$G$5:$G$327,"GL")</f>
        <v>3</v>
      </c>
    </row>
    <row r="16" customFormat="false" ht="15" hidden="false" customHeight="false" outlineLevel="0" collapsed="false">
      <c r="A16" s="17" t="s">
        <v>51</v>
      </c>
      <c r="B16" s="17" t="s">
        <v>1578</v>
      </c>
      <c r="C16" s="27" t="s">
        <v>86</v>
      </c>
      <c r="D16" s="18" t="s">
        <v>1589</v>
      </c>
      <c r="E16" s="29" t="s">
        <v>6</v>
      </c>
      <c r="F16" s="18"/>
      <c r="G16" s="17" t="n">
        <f aca="false">COUNTIFS(SKUs!$A$5:$A$327,A16,SKUs!$H$5:$H$327,C16,SKUs!$G$5:$G$327,"GL")</f>
        <v>3</v>
      </c>
    </row>
    <row r="17" customFormat="false" ht="15" hidden="false" customHeight="false" outlineLevel="0" collapsed="false">
      <c r="A17" s="17" t="s">
        <v>51</v>
      </c>
      <c r="B17" s="17" t="s">
        <v>1578</v>
      </c>
      <c r="C17" s="27" t="s">
        <v>91</v>
      </c>
      <c r="D17" s="18" t="s">
        <v>1590</v>
      </c>
      <c r="E17" s="29" t="s">
        <v>6</v>
      </c>
      <c r="F17" s="18"/>
      <c r="G17" s="17" t="n">
        <f aca="false">COUNTIFS(SKUs!$A$5:$A$327,A17,SKUs!$H$5:$H$327,C17,SKUs!$G$5:$G$327,"GL")</f>
        <v>1</v>
      </c>
    </row>
    <row r="18" customFormat="false" ht="15" hidden="false" customHeight="false" outlineLevel="0" collapsed="false">
      <c r="A18" s="17" t="s">
        <v>51</v>
      </c>
      <c r="B18" s="17" t="s">
        <v>1578</v>
      </c>
      <c r="C18" s="27" t="s">
        <v>391</v>
      </c>
      <c r="D18" s="18" t="s">
        <v>1591</v>
      </c>
      <c r="E18" s="29" t="s">
        <v>6</v>
      </c>
      <c r="F18" s="18"/>
      <c r="G18" s="17" t="n">
        <f aca="false">COUNTIFS(SKUs!$A$5:$A$327,A18,SKUs!$H$5:$H$327,C18,SKUs!$G$5:$G$327,"GL")</f>
        <v>1</v>
      </c>
    </row>
    <row r="19" customFormat="false" ht="15" hidden="false" customHeight="false" outlineLevel="0" collapsed="false">
      <c r="A19" s="17" t="s">
        <v>51</v>
      </c>
      <c r="B19" s="17" t="s">
        <v>1578</v>
      </c>
      <c r="C19" s="27" t="s">
        <v>167</v>
      </c>
      <c r="D19" s="18" t="s">
        <v>1592</v>
      </c>
      <c r="E19" s="29" t="s">
        <v>6</v>
      </c>
      <c r="F19" s="18"/>
      <c r="G19" s="17" t="n">
        <f aca="false">COUNTIFS(SKUs!$A$5:$A$327,A19,SKUs!$H$5:$H$327,C19,SKUs!$G$5:$G$327,"GL")</f>
        <v>1</v>
      </c>
    </row>
    <row r="20" customFormat="false" ht="15" hidden="false" customHeight="false" outlineLevel="0" collapsed="false">
      <c r="A20" s="17" t="s">
        <v>51</v>
      </c>
      <c r="B20" s="17" t="s">
        <v>1578</v>
      </c>
      <c r="C20" s="27" t="s">
        <v>366</v>
      </c>
      <c r="D20" s="18" t="s">
        <v>1593</v>
      </c>
      <c r="E20" s="29" t="s">
        <v>6</v>
      </c>
      <c r="F20" s="18"/>
      <c r="G20" s="17" t="n">
        <f aca="false">COUNTIFS(SKUs!$A$5:$A$327,A20,SKUs!$H$5:$H$327,C20,SKUs!$G$5:$G$327,"GL")</f>
        <v>1</v>
      </c>
    </row>
    <row r="21" customFormat="false" ht="15" hidden="false" customHeight="false" outlineLevel="0" collapsed="false">
      <c r="A21" s="17" t="s">
        <v>51</v>
      </c>
      <c r="B21" s="17" t="s">
        <v>1578</v>
      </c>
      <c r="C21" s="27" t="s">
        <v>414</v>
      </c>
      <c r="D21" s="18" t="s">
        <v>1594</v>
      </c>
      <c r="E21" s="29" t="s">
        <v>6</v>
      </c>
      <c r="F21" s="18"/>
      <c r="G21" s="17" t="n">
        <f aca="false">COUNTIFS(SKUs!$A$5:$A$327,A21,SKUs!$H$5:$H$327,C21,SKUs!$G$5:$G$327,"GL")</f>
        <v>1</v>
      </c>
    </row>
    <row r="22" customFormat="false" ht="15" hidden="false" customHeight="false" outlineLevel="0" collapsed="false">
      <c r="A22" s="17" t="s">
        <v>51</v>
      </c>
      <c r="B22" s="17" t="s">
        <v>1578</v>
      </c>
      <c r="C22" s="27" t="s">
        <v>409</v>
      </c>
      <c r="D22" s="18" t="s">
        <v>1595</v>
      </c>
      <c r="E22" s="29" t="s">
        <v>6</v>
      </c>
      <c r="F22" s="18"/>
      <c r="G22" s="17" t="n">
        <f aca="false">COUNTIFS(SKUs!$A$5:$A$327,A22,SKUs!$H$5:$H$327,C22,SKUs!$G$5:$G$327,"GL")</f>
        <v>1</v>
      </c>
    </row>
    <row r="23" customFormat="false" ht="15" hidden="false" customHeight="false" outlineLevel="0" collapsed="false">
      <c r="A23" s="17" t="s">
        <v>51</v>
      </c>
      <c r="B23" s="17" t="s">
        <v>1578</v>
      </c>
      <c r="C23" s="27" t="s">
        <v>376</v>
      </c>
      <c r="D23" s="18" t="s">
        <v>1596</v>
      </c>
      <c r="E23" s="29" t="s">
        <v>6</v>
      </c>
      <c r="F23" s="18"/>
      <c r="G23" s="17" t="n">
        <f aca="false">COUNTIFS(SKUs!$A$5:$A$327,A23,SKUs!$H$5:$H$327,C23,SKUs!$G$5:$G$327,"GL")</f>
        <v>1</v>
      </c>
    </row>
    <row r="24" customFormat="false" ht="15" hidden="false" customHeight="false" outlineLevel="0" collapsed="false">
      <c r="A24" s="17" t="s">
        <v>51</v>
      </c>
      <c r="B24" s="17" t="s">
        <v>1578</v>
      </c>
      <c r="C24" s="27" t="s">
        <v>120</v>
      </c>
      <c r="D24" s="18" t="s">
        <v>1597</v>
      </c>
      <c r="E24" s="29" t="s">
        <v>6</v>
      </c>
      <c r="F24" s="18"/>
      <c r="G24" s="17" t="n">
        <f aca="false">COUNTIFS(SKUs!$A$5:$A$327,A24,SKUs!$H$5:$H$327,C24,SKUs!$G$5:$G$327,"GL")</f>
        <v>1</v>
      </c>
    </row>
    <row r="25" customFormat="false" ht="15" hidden="false" customHeight="false" outlineLevel="0" collapsed="false">
      <c r="A25" s="17" t="s">
        <v>51</v>
      </c>
      <c r="B25" s="17" t="s">
        <v>1578</v>
      </c>
      <c r="C25" s="27" t="s">
        <v>381</v>
      </c>
      <c r="D25" s="18" t="s">
        <v>1598</v>
      </c>
      <c r="E25" s="29" t="s">
        <v>6</v>
      </c>
      <c r="F25" s="18"/>
      <c r="G25" s="17" t="n">
        <f aca="false">COUNTIFS(SKUs!$A$5:$A$327,A25,SKUs!$H$5:$H$327,C25,SKUs!$G$5:$G$327,"GL")</f>
        <v>1</v>
      </c>
    </row>
    <row r="26" customFormat="false" ht="15" hidden="false" customHeight="false" outlineLevel="0" collapsed="false">
      <c r="A26" s="17" t="s">
        <v>51</v>
      </c>
      <c r="B26" s="17" t="s">
        <v>1578</v>
      </c>
      <c r="C26" s="27" t="s">
        <v>125</v>
      </c>
      <c r="D26" s="18" t="s">
        <v>1599</v>
      </c>
      <c r="E26" s="29" t="s">
        <v>6</v>
      </c>
      <c r="F26" s="18"/>
      <c r="G26" s="17" t="n">
        <f aca="false">COUNTIFS(SKUs!$A$5:$A$327,A26,SKUs!$H$5:$H$327,C26,SKUs!$G$5:$G$327,"GL")</f>
        <v>1</v>
      </c>
    </row>
    <row r="27" customFormat="false" ht="15" hidden="false" customHeight="false" outlineLevel="0" collapsed="false">
      <c r="A27" s="17" t="s">
        <v>51</v>
      </c>
      <c r="B27" s="17" t="s">
        <v>1578</v>
      </c>
      <c r="C27" s="27" t="s">
        <v>130</v>
      </c>
      <c r="D27" s="18" t="s">
        <v>1600</v>
      </c>
      <c r="E27" s="29" t="s">
        <v>6</v>
      </c>
      <c r="F27" s="18"/>
      <c r="G27" s="17" t="n">
        <f aca="false">COUNTIFS(SKUs!$A$5:$A$327,A27,SKUs!$H$5:$H$327,C27,SKUs!$G$5:$G$327,"GL")</f>
        <v>3</v>
      </c>
    </row>
    <row r="28" customFormat="false" ht="15" hidden="false" customHeight="false" outlineLevel="0" collapsed="false">
      <c r="A28" s="17" t="s">
        <v>51</v>
      </c>
      <c r="B28" s="17" t="s">
        <v>1578</v>
      </c>
      <c r="C28" s="27" t="s">
        <v>135</v>
      </c>
      <c r="D28" s="18" t="s">
        <v>1601</v>
      </c>
      <c r="E28" s="29" t="s">
        <v>6</v>
      </c>
      <c r="F28" s="18"/>
      <c r="G28" s="17" t="n">
        <f aca="false">COUNTIFS(SKUs!$A$5:$A$327,A28,SKUs!$H$5:$H$327,C28,SKUs!$G$5:$G$327,"GL")</f>
        <v>1</v>
      </c>
    </row>
    <row r="29" customFormat="false" ht="15" hidden="false" customHeight="false" outlineLevel="0" collapsed="false">
      <c r="A29" s="17" t="s">
        <v>51</v>
      </c>
      <c r="B29" s="17" t="s">
        <v>1578</v>
      </c>
      <c r="C29" s="27" t="s">
        <v>140</v>
      </c>
      <c r="D29" s="18" t="s">
        <v>1602</v>
      </c>
      <c r="E29" s="29" t="s">
        <v>6</v>
      </c>
      <c r="F29" s="18"/>
      <c r="G29" s="17" t="n">
        <f aca="false">COUNTIFS(SKUs!$A$5:$A$327,A29,SKUs!$H$5:$H$327,C29,SKUs!$G$5:$G$327,"GL")</f>
        <v>1</v>
      </c>
    </row>
    <row r="30" customFormat="false" ht="15" hidden="false" customHeight="false" outlineLevel="0" collapsed="false">
      <c r="A30" s="17" t="s">
        <v>51</v>
      </c>
      <c r="B30" s="17" t="s">
        <v>1578</v>
      </c>
      <c r="C30" s="27" t="s">
        <v>145</v>
      </c>
      <c r="D30" s="18" t="s">
        <v>1603</v>
      </c>
      <c r="E30" s="29" t="s">
        <v>6</v>
      </c>
      <c r="F30" s="18"/>
      <c r="G30" s="17" t="n">
        <f aca="false">COUNTIFS(SKUs!$A$5:$A$327,A30,SKUs!$H$5:$H$327,C30,SKUs!$G$5:$G$327,"GL")</f>
        <v>1</v>
      </c>
    </row>
    <row r="31" customFormat="false" ht="15" hidden="false" customHeight="false" outlineLevel="0" collapsed="false">
      <c r="A31" s="17" t="s">
        <v>51</v>
      </c>
      <c r="B31" s="17" t="s">
        <v>1578</v>
      </c>
      <c r="C31" s="27" t="s">
        <v>386</v>
      </c>
      <c r="D31" s="18" t="s">
        <v>1604</v>
      </c>
      <c r="E31" s="29" t="s">
        <v>6</v>
      </c>
      <c r="F31" s="18"/>
      <c r="G31" s="17" t="n">
        <f aca="false">COUNTIFS(SKUs!$A$5:$A$327,A31,SKUs!$H$5:$H$327,C31,SKUs!$G$5:$G$327,"GL")</f>
        <v>1</v>
      </c>
    </row>
    <row r="32" customFormat="false" ht="15" hidden="false" customHeight="false" outlineLevel="0" collapsed="false">
      <c r="A32" s="17" t="s">
        <v>51</v>
      </c>
      <c r="B32" s="17" t="s">
        <v>1578</v>
      </c>
      <c r="C32" s="27" t="s">
        <v>150</v>
      </c>
      <c r="D32" s="18" t="s">
        <v>1605</v>
      </c>
      <c r="E32" s="29" t="s">
        <v>6</v>
      </c>
      <c r="F32" s="18"/>
      <c r="G32" s="17" t="n">
        <f aca="false">COUNTIFS(SKUs!$A$5:$A$327,A32,SKUs!$H$5:$H$327,C32,SKUs!$G$5:$G$327,"GL")</f>
        <v>1</v>
      </c>
    </row>
    <row r="33" customFormat="false" ht="15" hidden="false" customHeight="false" outlineLevel="0" collapsed="false">
      <c r="A33" s="17" t="s">
        <v>51</v>
      </c>
      <c r="B33" s="17" t="s">
        <v>1578</v>
      </c>
      <c r="C33" s="27" t="s">
        <v>156</v>
      </c>
      <c r="D33" s="18" t="s">
        <v>1606</v>
      </c>
      <c r="E33" s="29" t="s">
        <v>6</v>
      </c>
      <c r="F33" s="18"/>
      <c r="G33" s="17" t="n">
        <f aca="false">COUNTIFS(SKUs!$A$5:$A$327,A33,SKUs!$H$5:$H$327,C33,SKUs!$G$5:$G$327,"GL")</f>
        <v>1</v>
      </c>
    </row>
    <row r="34" customFormat="false" ht="15" hidden="false" customHeight="false" outlineLevel="0" collapsed="false">
      <c r="A34" s="17" t="s">
        <v>51</v>
      </c>
      <c r="B34" s="17" t="s">
        <v>1578</v>
      </c>
      <c r="C34" s="27" t="s">
        <v>162</v>
      </c>
      <c r="D34" s="18" t="s">
        <v>1607</v>
      </c>
      <c r="E34" s="29" t="s">
        <v>6</v>
      </c>
      <c r="F34" s="18"/>
      <c r="G34" s="17" t="n">
        <f aca="false">COUNTIFS(SKUs!$A$5:$A$327,A34,SKUs!$H$5:$H$327,C34,SKUs!$G$5:$G$327,"GL")</f>
        <v>1</v>
      </c>
    </row>
    <row r="35" customFormat="false" ht="15" hidden="false" customHeight="false" outlineLevel="0" collapsed="false">
      <c r="A35" s="17" t="s">
        <v>51</v>
      </c>
      <c r="B35" s="17" t="s">
        <v>1578</v>
      </c>
      <c r="C35" s="27" t="s">
        <v>419</v>
      </c>
      <c r="D35" s="18" t="s">
        <v>1608</v>
      </c>
      <c r="E35" s="29" t="s">
        <v>6</v>
      </c>
      <c r="F35" s="18"/>
      <c r="G35" s="17" t="n">
        <f aca="false">COUNTIFS(SKUs!$A$5:$A$327,A35,SKUs!$H$5:$H$327,C35,SKUs!$G$5:$G$327,"GL")</f>
        <v>1</v>
      </c>
    </row>
    <row r="36" customFormat="false" ht="15" hidden="false" customHeight="false" outlineLevel="0" collapsed="false">
      <c r="A36" s="17" t="s">
        <v>51</v>
      </c>
      <c r="B36" s="17" t="s">
        <v>1578</v>
      </c>
      <c r="C36" s="27" t="s">
        <v>108</v>
      </c>
      <c r="D36" s="18" t="s">
        <v>1609</v>
      </c>
      <c r="E36" s="28" t="s">
        <v>1541</v>
      </c>
      <c r="F36" s="18" t="s">
        <v>1610</v>
      </c>
      <c r="G36" s="17" t="n">
        <f aca="false">COUNTIFS(SKUs!$A$5:$A$327,A36,SKUs!$H$5:$H$327,C36,SKUs!$G$5:$G$327,"GL")</f>
        <v>2</v>
      </c>
    </row>
    <row r="37" customFormat="false" ht="15" hidden="false" customHeight="false" outlineLevel="0" collapsed="false">
      <c r="A37" s="17" t="s">
        <v>51</v>
      </c>
      <c r="B37" s="17" t="s">
        <v>1578</v>
      </c>
      <c r="C37" s="27" t="s">
        <v>96</v>
      </c>
      <c r="D37" s="18" t="s">
        <v>1611</v>
      </c>
      <c r="E37" s="29" t="s">
        <v>6</v>
      </c>
      <c r="F37" s="18"/>
      <c r="G37" s="17" t="n">
        <f aca="false">COUNTIFS(SKUs!$A$5:$A$327,A37,SKUs!$H$5:$H$327,C37,SKUs!$G$5:$G$327,"GL")</f>
        <v>2</v>
      </c>
    </row>
    <row r="38" customFormat="false" ht="15" hidden="false" customHeight="false" outlineLevel="0" collapsed="false">
      <c r="A38" s="17" t="s">
        <v>51</v>
      </c>
      <c r="B38" s="17" t="s">
        <v>1578</v>
      </c>
      <c r="C38" s="27" t="s">
        <v>361</v>
      </c>
      <c r="D38" s="18" t="s">
        <v>1612</v>
      </c>
      <c r="E38" s="29" t="s">
        <v>6</v>
      </c>
      <c r="F38" s="18"/>
      <c r="G38" s="17" t="n">
        <f aca="false">COUNTIFS(SKUs!$A$5:$A$327,A38,SKUs!$H$5:$H$327,C38,SKUs!$G$5:$G$327,"GL")</f>
        <v>1</v>
      </c>
    </row>
    <row r="39" customFormat="false" ht="15" hidden="false" customHeight="false" outlineLevel="0" collapsed="false">
      <c r="A39" s="17" t="s">
        <v>51</v>
      </c>
      <c r="B39" s="17" t="s">
        <v>1578</v>
      </c>
      <c r="C39" s="27" t="s">
        <v>102</v>
      </c>
      <c r="D39" s="18" t="s">
        <v>1613</v>
      </c>
      <c r="E39" s="29" t="s">
        <v>6</v>
      </c>
      <c r="F39" s="18"/>
      <c r="G39" s="17" t="n">
        <f aca="false">COUNTIFS(SKUs!$A$5:$A$327,A39,SKUs!$H$5:$H$327,C39,SKUs!$G$5:$G$327,"GL")</f>
        <v>1</v>
      </c>
    </row>
    <row r="40" customFormat="false" ht="15" hidden="false" customHeight="false" outlineLevel="0" collapsed="false">
      <c r="A40" s="17" t="s">
        <v>51</v>
      </c>
      <c r="B40" s="17" t="s">
        <v>1578</v>
      </c>
      <c r="C40" s="27" t="s">
        <v>187</v>
      </c>
      <c r="D40" s="18" t="s">
        <v>1614</v>
      </c>
      <c r="E40" s="29" t="s">
        <v>6</v>
      </c>
      <c r="F40" s="18"/>
      <c r="G40" s="17" t="n">
        <f aca="false">COUNTIFS(SKUs!$A$5:$A$327,A40,SKUs!$H$5:$H$327,C40,SKUs!$G$5:$G$327,"GL")</f>
        <v>1</v>
      </c>
    </row>
    <row r="41" customFormat="false" ht="15" hidden="false" customHeight="false" outlineLevel="0" collapsed="false">
      <c r="A41" s="17" t="s">
        <v>51</v>
      </c>
      <c r="B41" s="17" t="s">
        <v>1578</v>
      </c>
      <c r="C41" s="27" t="s">
        <v>205</v>
      </c>
      <c r="D41" s="18" t="s">
        <v>1615</v>
      </c>
      <c r="E41" s="29" t="s">
        <v>6</v>
      </c>
      <c r="F41" s="18"/>
      <c r="G41" s="17" t="n">
        <f aca="false">COUNTIFS(SKUs!$A$5:$A$327,A41,SKUs!$H$5:$H$327,C41,SKUs!$G$5:$G$327,"GL")</f>
        <v>1</v>
      </c>
    </row>
    <row r="42" customFormat="false" ht="15" hidden="false" customHeight="false" outlineLevel="0" collapsed="false">
      <c r="A42" s="17" t="s">
        <v>51</v>
      </c>
      <c r="B42" s="17" t="s">
        <v>1578</v>
      </c>
      <c r="C42" s="27" t="s">
        <v>115</v>
      </c>
      <c r="D42" s="18" t="s">
        <v>1616</v>
      </c>
      <c r="E42" s="29" t="s">
        <v>6</v>
      </c>
      <c r="F42" s="18"/>
      <c r="G42" s="17" t="n">
        <f aca="false">COUNTIFS(SKUs!$A$5:$A$327,A42,SKUs!$H$5:$H$327,C42,SKUs!$G$5:$G$327,"GL")</f>
        <v>1</v>
      </c>
    </row>
    <row r="43" customFormat="false" ht="15" hidden="false" customHeight="false" outlineLevel="0" collapsed="false">
      <c r="A43" s="17" t="s">
        <v>51</v>
      </c>
      <c r="B43" s="17" t="s">
        <v>1578</v>
      </c>
      <c r="C43" s="27" t="s">
        <v>174</v>
      </c>
      <c r="D43" s="18" t="s">
        <v>1617</v>
      </c>
      <c r="E43" s="29" t="s">
        <v>6</v>
      </c>
      <c r="F43" s="18"/>
      <c r="G43" s="17" t="n">
        <f aca="false">COUNTIFS(SKUs!$A$5:$A$327,A43,SKUs!$H$5:$H$327,C43,SKUs!$G$5:$G$327,"GL")</f>
        <v>1</v>
      </c>
    </row>
    <row r="44" customFormat="false" ht="15" hidden="false" customHeight="false" outlineLevel="0" collapsed="false">
      <c r="A44" s="17" t="s">
        <v>51</v>
      </c>
      <c r="B44" s="17" t="s">
        <v>1618</v>
      </c>
      <c r="C44" s="27" t="s">
        <v>220</v>
      </c>
      <c r="D44" s="18" t="s">
        <v>1586</v>
      </c>
      <c r="E44" s="28" t="s">
        <v>1541</v>
      </c>
      <c r="F44" s="18"/>
      <c r="G44" s="17" t="n">
        <f aca="false">COUNTIFS(SKUs!$A$5:$A$327,A44,SKUs!$H$5:$H$327,C44,SKUs!$G$5:$G$327,"PC")</f>
        <v>1</v>
      </c>
    </row>
    <row r="45" customFormat="false" ht="15" hidden="false" customHeight="false" outlineLevel="0" collapsed="false">
      <c r="A45" s="17" t="s">
        <v>51</v>
      </c>
      <c r="B45" s="17" t="s">
        <v>1618</v>
      </c>
      <c r="C45" s="27" t="s">
        <v>225</v>
      </c>
      <c r="D45" s="18" t="s">
        <v>1587</v>
      </c>
      <c r="E45" s="28" t="s">
        <v>1541</v>
      </c>
      <c r="F45" s="18"/>
      <c r="G45" s="17" t="n">
        <f aca="false">COUNTIFS(SKUs!$A$5:$A$327,A45,SKUs!$H$5:$H$327,C45,SKUs!$G$5:$G$327,"PC")</f>
        <v>1</v>
      </c>
    </row>
    <row r="46" customFormat="false" ht="15" hidden="false" customHeight="false" outlineLevel="0" collapsed="false">
      <c r="A46" s="17" t="s">
        <v>51</v>
      </c>
      <c r="B46" s="17" t="s">
        <v>1618</v>
      </c>
      <c r="C46" s="27" t="s">
        <v>56</v>
      </c>
      <c r="D46" s="18" t="s">
        <v>1619</v>
      </c>
      <c r="E46" s="29" t="s">
        <v>6</v>
      </c>
      <c r="F46" s="18" t="s">
        <v>1620</v>
      </c>
      <c r="G46" s="17" t="n">
        <f aca="false">COUNTIFS(SKUs!$A$5:$A$327,A46,SKUs!$H$5:$H$327,C46,SKUs!$G$5:$G$327,"PC")</f>
        <v>1</v>
      </c>
    </row>
    <row r="47" customFormat="false" ht="15" hidden="false" customHeight="false" outlineLevel="0" collapsed="false">
      <c r="A47" s="17" t="s">
        <v>51</v>
      </c>
      <c r="B47" s="17" t="s">
        <v>1618</v>
      </c>
      <c r="C47" s="27" t="s">
        <v>71</v>
      </c>
      <c r="D47" s="18" t="s">
        <v>1621</v>
      </c>
      <c r="E47" s="29" t="s">
        <v>6</v>
      </c>
      <c r="F47" s="18" t="s">
        <v>1620</v>
      </c>
      <c r="G47" s="17" t="n">
        <f aca="false">COUNTIFS(SKUs!$A$5:$A$327,A47,SKUs!$H$5:$H$327,C47,SKUs!$G$5:$G$327,"PC")</f>
        <v>1</v>
      </c>
    </row>
    <row r="48" customFormat="false" ht="15" hidden="false" customHeight="false" outlineLevel="0" collapsed="false">
      <c r="A48" s="17" t="s">
        <v>51</v>
      </c>
      <c r="B48" s="17" t="s">
        <v>1618</v>
      </c>
      <c r="C48" s="27" t="s">
        <v>288</v>
      </c>
      <c r="D48" s="18" t="s">
        <v>1622</v>
      </c>
      <c r="E48" s="29" t="s">
        <v>6</v>
      </c>
      <c r="F48" s="18" t="s">
        <v>1620</v>
      </c>
      <c r="G48" s="17" t="n">
        <f aca="false">COUNTIFS(SKUs!$A$5:$A$327,A48,SKUs!$H$5:$H$327,C48,SKUs!$G$5:$G$327,"PC")</f>
        <v>1</v>
      </c>
    </row>
    <row r="49" customFormat="false" ht="15" hidden="false" customHeight="false" outlineLevel="0" collapsed="false">
      <c r="A49" s="17" t="s">
        <v>51</v>
      </c>
      <c r="B49" s="17" t="s">
        <v>1618</v>
      </c>
      <c r="C49" s="27" t="s">
        <v>76</v>
      </c>
      <c r="D49" s="18" t="s">
        <v>1623</v>
      </c>
      <c r="E49" s="29" t="s">
        <v>6</v>
      </c>
      <c r="F49" s="18" t="s">
        <v>1624</v>
      </c>
      <c r="G49" s="17" t="n">
        <f aca="false">COUNTIFS(SKUs!$A$5:$A$327,A49,SKUs!$H$5:$H$327,C49,SKUs!$G$5:$G$327,"PC")</f>
        <v>1</v>
      </c>
    </row>
    <row r="50" customFormat="false" ht="15" hidden="false" customHeight="false" outlineLevel="0" collapsed="false">
      <c r="A50" s="17" t="s">
        <v>51</v>
      </c>
      <c r="B50" s="17" t="s">
        <v>1618</v>
      </c>
      <c r="C50" s="27" t="s">
        <v>66</v>
      </c>
      <c r="D50" s="18" t="s">
        <v>1625</v>
      </c>
      <c r="E50" s="29" t="s">
        <v>6</v>
      </c>
      <c r="F50" s="18" t="s">
        <v>1620</v>
      </c>
      <c r="G50" s="17" t="n">
        <f aca="false">COUNTIFS(SKUs!$A$5:$A$327,A50,SKUs!$H$5:$H$327,C50,SKUs!$G$5:$G$327,"PC")</f>
        <v>1</v>
      </c>
    </row>
    <row r="51" customFormat="false" ht="15" hidden="false" customHeight="false" outlineLevel="0" collapsed="false">
      <c r="A51" s="17" t="s">
        <v>51</v>
      </c>
      <c r="B51" s="17" t="s">
        <v>1618</v>
      </c>
      <c r="C51" s="27" t="s">
        <v>81</v>
      </c>
      <c r="D51" s="18" t="s">
        <v>1626</v>
      </c>
      <c r="E51" s="29" t="s">
        <v>6</v>
      </c>
      <c r="F51" s="18" t="s">
        <v>1620</v>
      </c>
      <c r="G51" s="17" t="n">
        <f aca="false">COUNTIFS(SKUs!$A$5:$A$327,A51,SKUs!$H$5:$H$327,C51,SKUs!$G$5:$G$327,"PC")</f>
        <v>1</v>
      </c>
    </row>
    <row r="52" customFormat="false" ht="15" hidden="false" customHeight="false" outlineLevel="0" collapsed="false">
      <c r="A52" s="17" t="s">
        <v>51</v>
      </c>
      <c r="B52" s="17" t="s">
        <v>1618</v>
      </c>
      <c r="C52" s="27" t="s">
        <v>108</v>
      </c>
      <c r="D52" s="18" t="s">
        <v>1627</v>
      </c>
      <c r="E52" s="28" t="s">
        <v>1541</v>
      </c>
      <c r="F52" s="18"/>
      <c r="G52" s="17" t="n">
        <f aca="false">COUNTIFS(SKUs!$A$5:$A$327,A52,SKUs!$H$5:$H$327,C52,SKUs!$G$5:$G$327,"PC")</f>
        <v>1</v>
      </c>
    </row>
    <row r="53" customFormat="false" ht="15" hidden="false" customHeight="false" outlineLevel="0" collapsed="false">
      <c r="A53" s="17" t="s">
        <v>51</v>
      </c>
      <c r="B53" s="17" t="s">
        <v>1618</v>
      </c>
      <c r="C53" s="27" t="s">
        <v>96</v>
      </c>
      <c r="D53" s="18" t="s">
        <v>1628</v>
      </c>
      <c r="E53" s="28" t="s">
        <v>1541</v>
      </c>
      <c r="F53" s="18"/>
      <c r="G53" s="17" t="n">
        <f aca="false">COUNTIFS(SKUs!$A$5:$A$327,A53,SKUs!$H$5:$H$327,C53,SKUs!$G$5:$G$327,"PC")</f>
        <v>1</v>
      </c>
    </row>
    <row r="54" customFormat="false" ht="15" hidden="false" customHeight="false" outlineLevel="0" collapsed="false">
      <c r="A54" s="17" t="s">
        <v>51</v>
      </c>
      <c r="B54" s="17" t="s">
        <v>1618</v>
      </c>
      <c r="C54" s="27" t="s">
        <v>102</v>
      </c>
      <c r="D54" s="18" t="s">
        <v>1629</v>
      </c>
      <c r="E54" s="28" t="s">
        <v>1541</v>
      </c>
      <c r="F54" s="18"/>
      <c r="G54" s="17" t="n">
        <f aca="false">COUNTIFS(SKUs!$A$5:$A$327,A54,SKUs!$H$5:$H$327,C54,SKUs!$G$5:$G$327,"PC")</f>
        <v>1</v>
      </c>
    </row>
    <row r="55" customFormat="false" ht="15" hidden="false" customHeight="false" outlineLevel="0" collapsed="false">
      <c r="A55" s="17" t="s">
        <v>51</v>
      </c>
      <c r="B55" s="17" t="s">
        <v>1618</v>
      </c>
      <c r="C55" s="27" t="s">
        <v>187</v>
      </c>
      <c r="D55" s="18" t="s">
        <v>1630</v>
      </c>
      <c r="E55" s="29" t="s">
        <v>6</v>
      </c>
      <c r="F55" s="18" t="s">
        <v>1624</v>
      </c>
      <c r="G55" s="17" t="n">
        <f aca="false">COUNTIFS(SKUs!$A$5:$A$327,A55,SKUs!$H$5:$H$327,C55,SKUs!$G$5:$G$327,"PC")</f>
        <v>1</v>
      </c>
    </row>
    <row r="56" customFormat="false" ht="15" hidden="false" customHeight="false" outlineLevel="0" collapsed="false">
      <c r="A56" s="17" t="s">
        <v>51</v>
      </c>
      <c r="B56" s="17" t="s">
        <v>1618</v>
      </c>
      <c r="C56" s="27" t="s">
        <v>205</v>
      </c>
      <c r="D56" s="18" t="s">
        <v>1631</v>
      </c>
      <c r="E56" s="29" t="s">
        <v>6</v>
      </c>
      <c r="F56" s="18" t="s">
        <v>1624</v>
      </c>
      <c r="G56" s="17" t="n">
        <f aca="false">COUNTIFS(SKUs!$A$5:$A$327,A56,SKUs!$H$5:$H$327,C56,SKUs!$G$5:$G$327,"PC")</f>
        <v>1</v>
      </c>
    </row>
    <row r="57" customFormat="false" ht="15" hidden="false" customHeight="false" outlineLevel="0" collapsed="false">
      <c r="A57" s="17" t="s">
        <v>51</v>
      </c>
      <c r="B57" s="17" t="s">
        <v>1618</v>
      </c>
      <c r="C57" s="27" t="s">
        <v>115</v>
      </c>
      <c r="D57" s="18" t="s">
        <v>1632</v>
      </c>
      <c r="E57" s="29" t="s">
        <v>6</v>
      </c>
      <c r="F57" s="18" t="s">
        <v>1624</v>
      </c>
      <c r="G57" s="17" t="n">
        <f aca="false">COUNTIFS(SKUs!$A$5:$A$327,A57,SKUs!$H$5:$H$327,C57,SKUs!$G$5:$G$327,"PC")</f>
        <v>1</v>
      </c>
    </row>
    <row r="58" customFormat="false" ht="15" hidden="false" customHeight="false" outlineLevel="0" collapsed="false">
      <c r="A58" s="17" t="s">
        <v>51</v>
      </c>
      <c r="B58" s="17" t="s">
        <v>1618</v>
      </c>
      <c r="C58" s="27" t="s">
        <v>174</v>
      </c>
      <c r="D58" s="18" t="s">
        <v>1633</v>
      </c>
      <c r="E58" s="29" t="s">
        <v>6</v>
      </c>
      <c r="F58" s="18" t="s">
        <v>1624</v>
      </c>
      <c r="G58" s="17" t="n">
        <f aca="false">COUNTIFS(SKUs!$A$5:$A$327,A58,SKUs!$H$5:$H$327,C58,SKUs!$G$5:$G$327,"PC")</f>
        <v>1</v>
      </c>
    </row>
    <row r="59" customFormat="false" ht="15" hidden="false" customHeight="false" outlineLevel="0" collapsed="false">
      <c r="A59" s="17" t="s">
        <v>51</v>
      </c>
      <c r="B59" s="17" t="s">
        <v>1618</v>
      </c>
      <c r="C59" s="27" t="s">
        <v>255</v>
      </c>
      <c r="D59" s="18" t="s">
        <v>1634</v>
      </c>
      <c r="E59" s="28" t="s">
        <v>1541</v>
      </c>
      <c r="F59" s="18"/>
      <c r="G59" s="17" t="n">
        <f aca="false">COUNTIFS(SKUs!$A$5:$A$327,A59,SKUs!$H$5:$H$327,C59,SKUs!$G$5:$G$327,"PC")</f>
        <v>1</v>
      </c>
    </row>
    <row r="60" customFormat="false" ht="15" hidden="false" customHeight="false" outlineLevel="0" collapsed="false">
      <c r="A60" s="17" t="s">
        <v>51</v>
      </c>
      <c r="B60" s="17" t="s">
        <v>1618</v>
      </c>
      <c r="C60" s="27" t="s">
        <v>210</v>
      </c>
      <c r="D60" s="18" t="s">
        <v>1635</v>
      </c>
      <c r="E60" s="29" t="s">
        <v>6</v>
      </c>
      <c r="F60" s="18" t="s">
        <v>1620</v>
      </c>
      <c r="G60" s="17" t="n">
        <f aca="false">COUNTIFS(SKUs!$A$5:$A$327,A60,SKUs!$H$5:$H$327,C60,SKUs!$G$5:$G$327,"PC")</f>
        <v>1</v>
      </c>
    </row>
    <row r="61" customFormat="false" ht="15" hidden="false" customHeight="false" outlineLevel="0" collapsed="false">
      <c r="A61" s="17" t="s">
        <v>51</v>
      </c>
      <c r="B61" s="17" t="s">
        <v>1618</v>
      </c>
      <c r="C61" s="27" t="s">
        <v>241</v>
      </c>
      <c r="D61" s="18" t="s">
        <v>1636</v>
      </c>
      <c r="E61" s="28" t="s">
        <v>1541</v>
      </c>
      <c r="F61" s="18"/>
      <c r="G61" s="17" t="n">
        <f aca="false">COUNTIFS(SKUs!$A$5:$A$327,A61,SKUs!$H$5:$H$327,C61,SKUs!$G$5:$G$327,"PC")</f>
        <v>1</v>
      </c>
    </row>
    <row r="62" customFormat="false" ht="15" hidden="false" customHeight="false" outlineLevel="0" collapsed="false">
      <c r="A62" s="17" t="s">
        <v>51</v>
      </c>
      <c r="B62" s="17" t="s">
        <v>1618</v>
      </c>
      <c r="C62" s="27" t="s">
        <v>246</v>
      </c>
      <c r="D62" s="18" t="s">
        <v>1637</v>
      </c>
      <c r="E62" s="28" t="s">
        <v>1541</v>
      </c>
      <c r="F62" s="18"/>
      <c r="G62" s="17" t="n">
        <f aca="false">COUNTIFS(SKUs!$A$5:$A$327,A62,SKUs!$H$5:$H$327,C62,SKUs!$G$5:$G$327,"PC")</f>
        <v>1</v>
      </c>
    </row>
    <row r="63" customFormat="false" ht="15" hidden="false" customHeight="false" outlineLevel="0" collapsed="false">
      <c r="A63" s="17" t="s">
        <v>51</v>
      </c>
      <c r="B63" s="17" t="s">
        <v>1618</v>
      </c>
      <c r="C63" s="27" t="s">
        <v>264</v>
      </c>
      <c r="D63" s="18" t="s">
        <v>1638</v>
      </c>
      <c r="E63" s="28" t="s">
        <v>1541</v>
      </c>
      <c r="F63" s="18"/>
      <c r="G63" s="17" t="n">
        <f aca="false">COUNTIFS(SKUs!$A$5:$A$327,A63,SKUs!$H$5:$H$327,C63,SKUs!$G$5:$G$327,"PC")</f>
        <v>1</v>
      </c>
    </row>
    <row r="64" customFormat="false" ht="15" hidden="false" customHeight="false" outlineLevel="0" collapsed="false">
      <c r="A64" s="17" t="s">
        <v>51</v>
      </c>
      <c r="B64" s="17" t="s">
        <v>1618</v>
      </c>
      <c r="C64" s="27" t="s">
        <v>493</v>
      </c>
      <c r="D64" s="18" t="s">
        <v>1639</v>
      </c>
      <c r="E64" s="28" t="s">
        <v>1541</v>
      </c>
      <c r="F64" s="18"/>
      <c r="G64" s="17" t="n">
        <f aca="false">COUNTIFS(SKUs!$A$5:$A$327,A64,SKUs!$H$5:$H$327,C64,SKUs!$G$5:$G$327,"PC")</f>
        <v>0</v>
      </c>
    </row>
    <row r="65" customFormat="false" ht="15" hidden="false" customHeight="false" outlineLevel="0" collapsed="false">
      <c r="A65" s="17" t="s">
        <v>51</v>
      </c>
      <c r="B65" s="17" t="s">
        <v>1618</v>
      </c>
      <c r="C65" s="27" t="s">
        <v>230</v>
      </c>
      <c r="D65" s="18" t="s">
        <v>1640</v>
      </c>
      <c r="E65" s="28" t="s">
        <v>1541</v>
      </c>
      <c r="F65" s="18"/>
      <c r="G65" s="17" t="n">
        <f aca="false">COUNTIFS(SKUs!$A$5:$A$327,A65,SKUs!$H$5:$H$327,C65,SKUs!$G$5:$G$327,"PC")</f>
        <v>1</v>
      </c>
    </row>
    <row r="66" customFormat="false" ht="15" hidden="false" customHeight="false" outlineLevel="0" collapsed="false">
      <c r="A66" s="17" t="s">
        <v>51</v>
      </c>
      <c r="B66" s="17" t="s">
        <v>1618</v>
      </c>
      <c r="C66" s="27" t="s">
        <v>507</v>
      </c>
      <c r="D66" s="18" t="s">
        <v>1641</v>
      </c>
      <c r="E66" s="28" t="s">
        <v>1541</v>
      </c>
      <c r="F66" s="18"/>
      <c r="G66" s="17" t="n">
        <f aca="false">COUNTIFS(SKUs!$A$5:$A$327,A66,SKUs!$H$5:$H$327,C66,SKUs!$G$5:$G$327,"PC")</f>
        <v>0</v>
      </c>
    </row>
    <row r="67" customFormat="false" ht="15" hidden="false" customHeight="false" outlineLevel="0" collapsed="false">
      <c r="A67" s="17" t="s">
        <v>51</v>
      </c>
      <c r="B67" s="17" t="s">
        <v>1618</v>
      </c>
      <c r="C67" s="27" t="s">
        <v>269</v>
      </c>
      <c r="D67" s="18" t="s">
        <v>1642</v>
      </c>
      <c r="E67" s="29" t="s">
        <v>6</v>
      </c>
      <c r="F67" s="18" t="s">
        <v>1620</v>
      </c>
      <c r="G67" s="17" t="n">
        <f aca="false">COUNTIFS(SKUs!$A$5:$A$327,A67,SKUs!$H$5:$H$327,C67,SKUs!$G$5:$G$327,"PC")</f>
        <v>1</v>
      </c>
    </row>
    <row r="68" customFormat="false" ht="15" hidden="false" customHeight="false" outlineLevel="0" collapsed="false">
      <c r="A68" s="17" t="s">
        <v>51</v>
      </c>
      <c r="B68" s="17" t="s">
        <v>1618</v>
      </c>
      <c r="C68" s="27" t="s">
        <v>236</v>
      </c>
      <c r="D68" s="18" t="s">
        <v>1643</v>
      </c>
      <c r="E68" s="29" t="s">
        <v>6</v>
      </c>
      <c r="F68" s="18" t="s">
        <v>1620</v>
      </c>
      <c r="G68" s="17" t="n">
        <f aca="false">COUNTIFS(SKUs!$A$5:$A$327,A68,SKUs!$H$5:$H$327,C68,SKUs!$G$5:$G$327,"PC")</f>
        <v>1</v>
      </c>
    </row>
    <row r="69" customFormat="false" ht="15" hidden="false" customHeight="false" outlineLevel="0" collapsed="false">
      <c r="A69" s="17" t="s">
        <v>51</v>
      </c>
      <c r="B69" s="17" t="s">
        <v>1618</v>
      </c>
      <c r="C69" s="27" t="s">
        <v>279</v>
      </c>
      <c r="D69" s="18" t="s">
        <v>1644</v>
      </c>
      <c r="E69" s="29" t="s">
        <v>6</v>
      </c>
      <c r="F69" s="18" t="s">
        <v>1620</v>
      </c>
      <c r="G69" s="17" t="n">
        <f aca="false">COUNTIFS(SKUs!$A$5:$A$327,A69,SKUs!$H$5:$H$327,C69,SKUs!$G$5:$G$327,"PC")</f>
        <v>1</v>
      </c>
    </row>
    <row r="70" customFormat="false" ht="15" hidden="false" customHeight="false" outlineLevel="0" collapsed="false">
      <c r="A70" s="17" t="s">
        <v>51</v>
      </c>
      <c r="B70" s="17" t="s">
        <v>1645</v>
      </c>
      <c r="C70" s="27" t="s">
        <v>1646</v>
      </c>
      <c r="D70" s="18" t="s">
        <v>1647</v>
      </c>
      <c r="E70" s="28" t="s">
        <v>1541</v>
      </c>
      <c r="F70" s="18" t="s">
        <v>1648</v>
      </c>
      <c r="G70" s="17" t="n">
        <f aca="false">COUNTIFS(SKUs!$A$5:$A$327,A70,SKUs!$I$5:$I$327,C70,SKUs!$G$5:$G$327,"GL")</f>
        <v>0</v>
      </c>
    </row>
    <row r="71" customFormat="false" ht="15" hidden="false" customHeight="false" outlineLevel="0" collapsed="false">
      <c r="A71" s="17" t="s">
        <v>51</v>
      </c>
      <c r="B71" s="17" t="s">
        <v>1645</v>
      </c>
      <c r="C71" s="27" t="s">
        <v>309</v>
      </c>
      <c r="D71" s="18" t="s">
        <v>1649</v>
      </c>
      <c r="E71" s="28" t="s">
        <v>1541</v>
      </c>
      <c r="F71" s="18"/>
      <c r="G71" s="17" t="n">
        <f aca="false">COUNTIFS(SKUs!$A$5:$A$327,A71,SKUs!$I$5:$I$327,C71,SKUs!$G$5:$G$327,"GL")</f>
        <v>5</v>
      </c>
    </row>
    <row r="72" customFormat="false" ht="15" hidden="false" customHeight="false" outlineLevel="0" collapsed="false">
      <c r="A72" s="17" t="s">
        <v>51</v>
      </c>
      <c r="B72" s="17" t="s">
        <v>1645</v>
      </c>
      <c r="C72" s="27" t="s">
        <v>57</v>
      </c>
      <c r="D72" s="18" t="s">
        <v>1650</v>
      </c>
      <c r="E72" s="28" t="s">
        <v>1541</v>
      </c>
      <c r="F72" s="18" t="s">
        <v>1651</v>
      </c>
      <c r="G72" s="17" t="n">
        <f aca="false">COUNTIFS(SKUs!$A$5:$A$327,A72,SKUs!$I$5:$I$327,C72,SKUs!$G$5:$G$327,"GL")</f>
        <v>37</v>
      </c>
    </row>
    <row r="73" customFormat="false" ht="15" hidden="false" customHeight="false" outlineLevel="0" collapsed="false">
      <c r="A73" s="17" t="s">
        <v>51</v>
      </c>
      <c r="B73" s="17" t="s">
        <v>1645</v>
      </c>
      <c r="C73" s="27" t="s">
        <v>1652</v>
      </c>
      <c r="D73" s="18" t="s">
        <v>1653</v>
      </c>
      <c r="E73" s="28" t="s">
        <v>1541</v>
      </c>
      <c r="F73" s="18" t="s">
        <v>1654</v>
      </c>
      <c r="G73" s="17" t="n">
        <f aca="false">COUNTIFS(SKUs!$A$5:$A$327,A73,SKUs!$I$5:$I$327,C73,SKUs!$G$5:$G$327,"GL")</f>
        <v>0</v>
      </c>
    </row>
    <row r="74" customFormat="false" ht="15" hidden="false" customHeight="false" outlineLevel="0" collapsed="false">
      <c r="A74" s="17" t="s">
        <v>51</v>
      </c>
      <c r="B74" s="17" t="s">
        <v>1645</v>
      </c>
      <c r="C74" s="27" t="s">
        <v>1655</v>
      </c>
      <c r="D74" s="18" t="s">
        <v>1656</v>
      </c>
      <c r="E74" s="28" t="s">
        <v>1541</v>
      </c>
      <c r="F74" s="18" t="s">
        <v>1657</v>
      </c>
      <c r="G74" s="17" t="n">
        <f aca="false">COUNTIFS(SKUs!$A$5:$A$327,A74,SKUs!$I$5:$I$327,C74,SKUs!$G$5:$G$327,"GL")</f>
        <v>0</v>
      </c>
    </row>
    <row r="75" customFormat="false" ht="15" hidden="false" customHeight="false" outlineLevel="0" collapsed="false">
      <c r="A75" s="17" t="s">
        <v>51</v>
      </c>
      <c r="B75" s="17" t="s">
        <v>1645</v>
      </c>
      <c r="C75" s="27" t="s">
        <v>1658</v>
      </c>
      <c r="D75" s="18" t="s">
        <v>1656</v>
      </c>
      <c r="E75" s="28" t="s">
        <v>1541</v>
      </c>
      <c r="F75" s="18" t="s">
        <v>1657</v>
      </c>
      <c r="G75" s="17" t="n">
        <f aca="false">COUNTIFS(SKUs!$A$5:$A$327,A75,SKUs!$I$5:$I$327,C75,SKUs!$G$5:$G$327,"GL")</f>
        <v>0</v>
      </c>
    </row>
    <row r="76" customFormat="false" ht="15" hidden="false" customHeight="false" outlineLevel="0" collapsed="false">
      <c r="A76" s="17" t="s">
        <v>51</v>
      </c>
      <c r="B76" s="17" t="s">
        <v>1645</v>
      </c>
      <c r="C76" s="27" t="s">
        <v>445</v>
      </c>
      <c r="D76" s="18" t="s">
        <v>1656</v>
      </c>
      <c r="E76" s="28" t="s">
        <v>1541</v>
      </c>
      <c r="F76" s="18" t="s">
        <v>1657</v>
      </c>
      <c r="G76" s="17" t="n">
        <f aca="false">COUNTIFS(SKUs!$A$5:$A$327,A76,SKUs!$I$5:$I$327,C76,SKUs!$G$5:$G$327,"GL")</f>
        <v>0</v>
      </c>
    </row>
    <row r="77" customFormat="false" ht="15" hidden="false" customHeight="false" outlineLevel="0" collapsed="false">
      <c r="A77" s="17" t="s">
        <v>51</v>
      </c>
      <c r="B77" s="17" t="s">
        <v>1645</v>
      </c>
      <c r="C77" s="27" t="s">
        <v>302</v>
      </c>
      <c r="D77" s="18" t="s">
        <v>1659</v>
      </c>
      <c r="E77" s="29" t="s">
        <v>6</v>
      </c>
      <c r="F77" s="18" t="s">
        <v>1660</v>
      </c>
      <c r="G77" s="17" t="n">
        <f aca="false">COUNTIFS(SKUs!$A$5:$A$327,A77,SKUs!$I$5:$I$327,C77,SKUs!$G$5:$G$327,"GL")</f>
        <v>5</v>
      </c>
    </row>
    <row r="78" customFormat="false" ht="15" hidden="false" customHeight="false" outlineLevel="0" collapsed="false">
      <c r="A78" s="17" t="s">
        <v>51</v>
      </c>
      <c r="B78" s="17" t="s">
        <v>1645</v>
      </c>
      <c r="C78" s="27" t="s">
        <v>428</v>
      </c>
      <c r="D78" s="18" t="s">
        <v>1661</v>
      </c>
      <c r="E78" s="29" t="s">
        <v>6</v>
      </c>
      <c r="F78" s="18" t="s">
        <v>1662</v>
      </c>
      <c r="G78" s="17" t="n">
        <f aca="false">COUNTIFS(SKUs!$A$5:$A$327,A78,SKUs!$I$5:$I$327,C78,SKUs!$G$5:$G$327,"GL")</f>
        <v>1</v>
      </c>
    </row>
    <row r="79" customFormat="false" ht="15" hidden="false" customHeight="false" outlineLevel="0" collapsed="false">
      <c r="A79" s="17" t="s">
        <v>51</v>
      </c>
      <c r="B79" s="17" t="s">
        <v>1645</v>
      </c>
      <c r="C79" s="27" t="s">
        <v>1535</v>
      </c>
      <c r="D79" s="18" t="s">
        <v>1663</v>
      </c>
      <c r="E79" s="28" t="s">
        <v>1541</v>
      </c>
      <c r="F79" s="18"/>
      <c r="G79" s="17" t="n">
        <f aca="false">COUNTIFS(SKUs!$A$5:$A$327,A79,SKUs!$I$5:$I$327,C79,SKUs!$G$5:$G$327,"PC")</f>
        <v>0</v>
      </c>
    </row>
    <row r="80" customFormat="false" ht="15" hidden="false" customHeight="false" outlineLevel="0" collapsed="false">
      <c r="A80" s="17" t="s">
        <v>51</v>
      </c>
      <c r="B80" s="17" t="s">
        <v>1645</v>
      </c>
      <c r="C80" s="27" t="s">
        <v>1536</v>
      </c>
      <c r="D80" s="18" t="s">
        <v>1664</v>
      </c>
      <c r="E80" s="28" t="s">
        <v>1541</v>
      </c>
      <c r="F80" s="18" t="s">
        <v>1665</v>
      </c>
      <c r="G80" s="17" t="n">
        <f aca="false">COUNTIFS(SKUs!$A$5:$A$327,A80,SKUs!$I$5:$I$327,C80,SKUs!$G$5:$G$327,"PC")</f>
        <v>0</v>
      </c>
    </row>
    <row r="81" customFormat="false" ht="15" hidden="false" customHeight="false" outlineLevel="0" collapsed="false">
      <c r="A81" s="17" t="s">
        <v>51</v>
      </c>
      <c r="B81" s="17" t="s">
        <v>1645</v>
      </c>
      <c r="C81" s="27" t="s">
        <v>1537</v>
      </c>
      <c r="D81" s="18" t="s">
        <v>1666</v>
      </c>
      <c r="E81" s="28" t="s">
        <v>1541</v>
      </c>
      <c r="F81" s="18"/>
      <c r="G81" s="17" t="n">
        <f aca="false">COUNTIFS(SKUs!$A$5:$A$327,A81,SKUs!$I$5:$I$327,C81,SKUs!$G$5:$G$327,"PC")</f>
        <v>0</v>
      </c>
    </row>
    <row r="82" customFormat="false" ht="15" hidden="false" customHeight="false" outlineLevel="0" collapsed="false">
      <c r="A82" s="17" t="s">
        <v>51</v>
      </c>
      <c r="B82" s="17" t="s">
        <v>1645</v>
      </c>
      <c r="C82" s="27" t="s">
        <v>1538</v>
      </c>
      <c r="D82" s="18" t="s">
        <v>1667</v>
      </c>
      <c r="E82" s="28" t="s">
        <v>1541</v>
      </c>
      <c r="F82" s="18" t="s">
        <v>1668</v>
      </c>
      <c r="G82" s="17" t="n">
        <f aca="false">COUNTIFS(SKUs!$A$5:$A$327,A82,SKUs!$I$5:$I$327,C82,SKUs!$G$5:$G$327,"PC")</f>
        <v>0</v>
      </c>
    </row>
    <row r="83" customFormat="false" ht="15" hidden="false" customHeight="false" outlineLevel="0" collapsed="false">
      <c r="A83" s="17" t="s">
        <v>51</v>
      </c>
      <c r="B83" s="17" t="s">
        <v>1645</v>
      </c>
      <c r="C83" s="27" t="s">
        <v>1539</v>
      </c>
      <c r="D83" s="18" t="s">
        <v>1669</v>
      </c>
      <c r="E83" s="28" t="s">
        <v>1541</v>
      </c>
      <c r="F83" s="18" t="s">
        <v>1670</v>
      </c>
      <c r="G83" s="17" t="n">
        <f aca="false">COUNTIFS(SKUs!$A$5:$A$327,A83,SKUs!$I$5:$I$327,C83,SKUs!$G$5:$G$327,"PC")</f>
        <v>0</v>
      </c>
    </row>
    <row r="84" customFormat="false" ht="15" hidden="false" customHeight="false" outlineLevel="0" collapsed="false">
      <c r="A84" s="17" t="s">
        <v>51</v>
      </c>
      <c r="B84" s="17" t="s">
        <v>1645</v>
      </c>
      <c r="C84" s="27" t="s">
        <v>175</v>
      </c>
      <c r="D84" s="18" t="s">
        <v>1671</v>
      </c>
      <c r="E84" s="29" t="s">
        <v>6</v>
      </c>
      <c r="F84" s="18" t="s">
        <v>1672</v>
      </c>
      <c r="G84" s="17" t="n">
        <f aca="false">COUNTIFS(SKUs!$A$5:$A$327,A84,SKUs!$I$5:$I$327,C84,SKUs!$G$5:$G$327,"PC")</f>
        <v>24</v>
      </c>
    </row>
    <row r="85" customFormat="false" ht="15" hidden="false" customHeight="false" outlineLevel="0" collapsed="false">
      <c r="A85" s="17" t="s">
        <v>51</v>
      </c>
      <c r="B85" s="17" t="s">
        <v>1673</v>
      </c>
      <c r="C85" s="27" t="s">
        <v>58</v>
      </c>
      <c r="D85" s="18" t="s">
        <v>1674</v>
      </c>
      <c r="E85" s="28" t="s">
        <v>1541</v>
      </c>
      <c r="F85" s="18"/>
      <c r="G85" s="17" t="n">
        <f aca="false">COUNTIFS(SKUs!$A$5:$A$327,A85,SKUs!$J$5:$J$327,C85)</f>
        <v>68</v>
      </c>
    </row>
    <row r="86" customFormat="false" ht="15" hidden="false" customHeight="false" outlineLevel="0" collapsed="false">
      <c r="A86" s="17" t="s">
        <v>51</v>
      </c>
      <c r="B86" s="17" t="s">
        <v>1673</v>
      </c>
      <c r="C86" s="27" t="s">
        <v>289</v>
      </c>
      <c r="D86" s="18" t="s">
        <v>1675</v>
      </c>
      <c r="E86" s="28" t="s">
        <v>1541</v>
      </c>
      <c r="F86" s="18"/>
      <c r="G86" s="17" t="n">
        <f aca="false">COUNTIFS(SKUs!$A$5:$A$327,A86,SKUs!$J$5:$J$327,C86)</f>
        <v>3</v>
      </c>
    </row>
    <row r="87" customFormat="false" ht="15" hidden="false" customHeight="false" outlineLevel="0" collapsed="false">
      <c r="A87" s="17" t="s">
        <v>51</v>
      </c>
      <c r="B87" s="17" t="s">
        <v>1673</v>
      </c>
      <c r="C87" s="27" t="s">
        <v>1676</v>
      </c>
      <c r="D87" s="18" t="s">
        <v>1677</v>
      </c>
      <c r="E87" s="28" t="s">
        <v>1541</v>
      </c>
      <c r="F87" s="18"/>
      <c r="G87" s="17" t="n">
        <f aca="false">COUNTIFS(SKUs!$A$5:$A$327,A87,SKUs!$J$5:$J$327,C87)</f>
        <v>0</v>
      </c>
    </row>
    <row r="88" customFormat="false" ht="15" hidden="false" customHeight="false" outlineLevel="0" collapsed="false">
      <c r="A88" s="17" t="s">
        <v>51</v>
      </c>
      <c r="B88" s="17" t="s">
        <v>1673</v>
      </c>
      <c r="C88" s="27" t="s">
        <v>429</v>
      </c>
      <c r="D88" s="18" t="s">
        <v>1678</v>
      </c>
      <c r="E88" s="28" t="s">
        <v>1541</v>
      </c>
      <c r="F88" s="18"/>
      <c r="G88" s="17" t="n">
        <f aca="false">COUNTIFS(SKUs!$A$5:$A$327,A88,SKUs!$J$5:$J$327,C88)</f>
        <v>1</v>
      </c>
    </row>
    <row r="89" customFormat="false" ht="15" hidden="false" customHeight="false" outlineLevel="0" collapsed="false">
      <c r="A89" s="17" t="s">
        <v>51</v>
      </c>
      <c r="B89" s="17" t="s">
        <v>1673</v>
      </c>
      <c r="C89" s="27" t="s">
        <v>1679</v>
      </c>
      <c r="D89" s="18" t="s">
        <v>1680</v>
      </c>
      <c r="E89" s="28" t="s">
        <v>1541</v>
      </c>
      <c r="F89" s="18" t="s">
        <v>1681</v>
      </c>
      <c r="G89" s="17" t="n">
        <f aca="false">COUNTIFS(SKUs!$A$5:$A$327,A89,SKUs!$J$5:$J$327,C89)</f>
        <v>0</v>
      </c>
    </row>
    <row r="90" customFormat="false" ht="15" hidden="false" customHeight="false" outlineLevel="0" collapsed="false">
      <c r="A90" s="17" t="s">
        <v>51</v>
      </c>
      <c r="B90" s="17" t="s">
        <v>1673</v>
      </c>
      <c r="C90" s="27" t="s">
        <v>1682</v>
      </c>
      <c r="D90" s="18" t="s">
        <v>1683</v>
      </c>
      <c r="E90" s="28" t="s">
        <v>1541</v>
      </c>
      <c r="F90" s="18" t="s">
        <v>1681</v>
      </c>
      <c r="G90" s="17" t="n">
        <f aca="false">COUNTIFS(SKUs!$A$5:$A$327,A90,SKUs!$J$5:$J$327,C90)</f>
        <v>0</v>
      </c>
    </row>
    <row r="91" customFormat="false" ht="15" hidden="false" customHeight="false" outlineLevel="0" collapsed="false">
      <c r="A91" s="17" t="s">
        <v>434</v>
      </c>
      <c r="B91" s="17" t="s">
        <v>1575</v>
      </c>
      <c r="C91" s="27" t="s">
        <v>434</v>
      </c>
      <c r="D91" s="18" t="s">
        <v>1684</v>
      </c>
      <c r="E91" s="28" t="s">
        <v>1541</v>
      </c>
      <c r="F91" s="18"/>
      <c r="G91" s="17" t="n">
        <f aca="false">COUNTIFS(SKUs!$A$5:$A$327,A91,SKUs!$G$5:$G$327,C91)</f>
        <v>173</v>
      </c>
    </row>
    <row r="92" customFormat="false" ht="15" hidden="false" customHeight="false" outlineLevel="0" collapsed="false">
      <c r="A92" s="17" t="s">
        <v>434</v>
      </c>
      <c r="B92" s="17" t="s">
        <v>1685</v>
      </c>
      <c r="C92" s="27" t="s">
        <v>563</v>
      </c>
      <c r="D92" s="18" t="s">
        <v>1686</v>
      </c>
      <c r="E92" s="28" t="s">
        <v>1541</v>
      </c>
      <c r="F92" s="18"/>
      <c r="G92" s="17" t="n">
        <f aca="false">COUNTIFS(SKUs!$A$5:$A$327,A92,SKUs!$H$5:$H$327,C92)</f>
        <v>17</v>
      </c>
    </row>
    <row r="93" customFormat="false" ht="15" hidden="false" customHeight="false" outlineLevel="0" collapsed="false">
      <c r="A93" s="17" t="s">
        <v>434</v>
      </c>
      <c r="B93" s="17" t="s">
        <v>1685</v>
      </c>
      <c r="C93" s="27" t="s">
        <v>438</v>
      </c>
      <c r="D93" s="18" t="s">
        <v>1687</v>
      </c>
      <c r="E93" s="28" t="s">
        <v>1541</v>
      </c>
      <c r="F93" s="18"/>
      <c r="G93" s="17" t="n">
        <f aca="false">COUNTIFS(SKUs!$A$5:$A$327,A93,SKUs!$H$5:$H$327,C93)</f>
        <v>33</v>
      </c>
    </row>
    <row r="94" customFormat="false" ht="15" hidden="false" customHeight="false" outlineLevel="0" collapsed="false">
      <c r="A94" s="17" t="s">
        <v>434</v>
      </c>
      <c r="B94" s="17" t="s">
        <v>1685</v>
      </c>
      <c r="C94" s="27" t="s">
        <v>450</v>
      </c>
      <c r="D94" s="18" t="s">
        <v>1688</v>
      </c>
      <c r="E94" s="28" t="s">
        <v>1541</v>
      </c>
      <c r="F94" s="18"/>
      <c r="G94" s="17" t="n">
        <f aca="false">COUNTIFS(SKUs!$A$5:$A$327,A94,SKUs!$H$5:$H$327,C94)</f>
        <v>23</v>
      </c>
    </row>
    <row r="95" customFormat="false" ht="15" hidden="false" customHeight="false" outlineLevel="0" collapsed="false">
      <c r="A95" s="17" t="s">
        <v>434</v>
      </c>
      <c r="B95" s="17" t="s">
        <v>1685</v>
      </c>
      <c r="C95" s="27" t="s">
        <v>439</v>
      </c>
      <c r="D95" s="18" t="s">
        <v>1689</v>
      </c>
      <c r="E95" s="28" t="s">
        <v>1541</v>
      </c>
      <c r="F95" s="18"/>
      <c r="G95" s="17" t="n">
        <f aca="false">COUNTIFS(SKUs!$A$5:$A$327,A95,SKUs!$H$5:$H$327,C95)</f>
        <v>73</v>
      </c>
    </row>
    <row r="96" customFormat="false" ht="15" hidden="false" customHeight="false" outlineLevel="0" collapsed="false">
      <c r="A96" s="17" t="s">
        <v>434</v>
      </c>
      <c r="B96" s="17" t="s">
        <v>1685</v>
      </c>
      <c r="C96" s="27" t="s">
        <v>529</v>
      </c>
      <c r="D96" s="18" t="s">
        <v>1690</v>
      </c>
      <c r="E96" s="29" t="s">
        <v>6</v>
      </c>
      <c r="F96" s="18" t="s">
        <v>1691</v>
      </c>
      <c r="G96" s="17" t="n">
        <f aca="false">COUNTIFS(SKUs!$A$5:$A$327,A96,SKUs!$H$5:$H$327,C96)</f>
        <v>4</v>
      </c>
    </row>
    <row r="97" customFormat="false" ht="15" hidden="false" customHeight="false" outlineLevel="0" collapsed="false">
      <c r="A97" s="17" t="s">
        <v>434</v>
      </c>
      <c r="B97" s="17" t="s">
        <v>1685</v>
      </c>
      <c r="C97" s="27" t="s">
        <v>728</v>
      </c>
      <c r="D97" s="18" t="s">
        <v>1692</v>
      </c>
      <c r="E97" s="29" t="s">
        <v>6</v>
      </c>
      <c r="F97" s="18" t="s">
        <v>1693</v>
      </c>
      <c r="G97" s="17" t="n">
        <f aca="false">COUNTIFS(SKUs!$A$5:$A$327,A97,SKUs!$H$5:$H$327,C97)</f>
        <v>2</v>
      </c>
    </row>
    <row r="98" customFormat="false" ht="15" hidden="false" customHeight="false" outlineLevel="0" collapsed="false">
      <c r="A98" s="17" t="s">
        <v>434</v>
      </c>
      <c r="B98" s="17" t="s">
        <v>1685</v>
      </c>
      <c r="C98" s="27" t="s">
        <v>467</v>
      </c>
      <c r="D98" s="18" t="s">
        <v>1694</v>
      </c>
      <c r="E98" s="29" t="s">
        <v>6</v>
      </c>
      <c r="F98" s="18" t="s">
        <v>1695</v>
      </c>
      <c r="G98" s="17" t="n">
        <f aca="false">COUNTIFS(SKUs!$A$5:$A$327,A98,SKUs!$H$5:$H$327,C98)</f>
        <v>17</v>
      </c>
    </row>
    <row r="99" customFormat="false" ht="15" hidden="false" customHeight="false" outlineLevel="0" collapsed="false">
      <c r="A99" s="17" t="s">
        <v>434</v>
      </c>
      <c r="B99" s="17" t="s">
        <v>1685</v>
      </c>
      <c r="C99" s="27" t="s">
        <v>616</v>
      </c>
      <c r="D99" s="18" t="s">
        <v>1696</v>
      </c>
      <c r="E99" s="29" t="s">
        <v>6</v>
      </c>
      <c r="F99" s="18" t="s">
        <v>1697</v>
      </c>
      <c r="G99" s="17" t="n">
        <f aca="false">COUNTIFS(SKUs!$A$5:$A$327,A99,SKUs!$H$5:$H$327,C99)</f>
        <v>4</v>
      </c>
    </row>
    <row r="100" customFormat="false" ht="15" hidden="false" customHeight="false" outlineLevel="0" collapsed="false">
      <c r="A100" s="17" t="s">
        <v>434</v>
      </c>
      <c r="B100" s="17" t="s">
        <v>1698</v>
      </c>
      <c r="C100" s="27" t="s">
        <v>96</v>
      </c>
      <c r="D100" s="18" t="s">
        <v>1699</v>
      </c>
      <c r="E100" s="28" t="s">
        <v>1700</v>
      </c>
      <c r="F100" s="18"/>
      <c r="G100" s="17" t="n">
        <f aca="false">COUNTIFS(SKUs!$A$5:$A$327,A100,SKUs!$I$5:$I$327,C100,SKUs!$H$5:$H$327,"FR")</f>
        <v>1</v>
      </c>
    </row>
    <row r="101" customFormat="false" ht="15" hidden="false" customHeight="false" outlineLevel="0" collapsed="false">
      <c r="A101" s="17" t="s">
        <v>434</v>
      </c>
      <c r="B101" s="17" t="s">
        <v>1698</v>
      </c>
      <c r="C101" s="27" t="s">
        <v>361</v>
      </c>
      <c r="D101" s="18" t="s">
        <v>1701</v>
      </c>
      <c r="E101" s="28" t="s">
        <v>1700</v>
      </c>
      <c r="F101" s="18"/>
      <c r="G101" s="17" t="n">
        <f aca="false">COUNTIFS(SKUs!$A$5:$A$327,A101,SKUs!$I$5:$I$327,C101,SKUs!$H$5:$H$327,"FR")</f>
        <v>1</v>
      </c>
    </row>
    <row r="102" customFormat="false" ht="15" hidden="false" customHeight="false" outlineLevel="0" collapsed="false">
      <c r="A102" s="17" t="s">
        <v>434</v>
      </c>
      <c r="B102" s="17" t="s">
        <v>1702</v>
      </c>
      <c r="C102" s="27" t="s">
        <v>210</v>
      </c>
      <c r="D102" s="18" t="s">
        <v>449</v>
      </c>
      <c r="E102" s="29" t="s">
        <v>6</v>
      </c>
      <c r="F102" s="18"/>
      <c r="G102" s="17" t="n">
        <f aca="false">COUNTIFS(SKUs!$A$5:$A$327,A102,SKUs!$I$5:$I$327,C102,SKUs!$H$5:$H$327,"BA")</f>
        <v>1</v>
      </c>
    </row>
    <row r="103" customFormat="false" ht="15" hidden="false" customHeight="false" outlineLevel="0" collapsed="false">
      <c r="A103" s="17" t="s">
        <v>434</v>
      </c>
      <c r="B103" s="17" t="s">
        <v>1703</v>
      </c>
      <c r="C103" s="27" t="s">
        <v>246</v>
      </c>
      <c r="D103" s="18" t="s">
        <v>456</v>
      </c>
      <c r="E103" s="29" t="s">
        <v>6</v>
      </c>
      <c r="F103" s="18"/>
      <c r="G103" s="17" t="n">
        <f aca="false">COUNTIFS(SKUs!$A$5:$A$327,A103,SKUs!$I$5:$I$327,C103,SKUs!$H$5:$H$327,"AC")</f>
        <v>1</v>
      </c>
    </row>
    <row r="104" customFormat="false" ht="15" hidden="false" customHeight="false" outlineLevel="0" collapsed="false">
      <c r="A104" s="17" t="s">
        <v>434</v>
      </c>
      <c r="B104" s="17" t="s">
        <v>1698</v>
      </c>
      <c r="C104" s="27" t="s">
        <v>461</v>
      </c>
      <c r="D104" s="18" t="s">
        <v>460</v>
      </c>
      <c r="E104" s="29" t="s">
        <v>6</v>
      </c>
      <c r="F104" s="18"/>
      <c r="G104" s="17" t="n">
        <f aca="false">COUNTIFS(SKUs!$A$5:$A$327,A104,SKUs!$I$5:$I$327,C104,SKUs!$H$5:$H$327,"FR")</f>
        <v>1</v>
      </c>
    </row>
    <row r="105" customFormat="false" ht="15" hidden="false" customHeight="false" outlineLevel="0" collapsed="false">
      <c r="A105" s="17" t="s">
        <v>434</v>
      </c>
      <c r="B105" s="17" t="s">
        <v>1704</v>
      </c>
      <c r="C105" s="27" t="s">
        <v>468</v>
      </c>
      <c r="D105" s="18" t="s">
        <v>466</v>
      </c>
      <c r="E105" s="29" t="s">
        <v>6</v>
      </c>
      <c r="F105" s="18"/>
      <c r="G105" s="17" t="n">
        <f aca="false">COUNTIFS(SKUs!$A$5:$A$327,A105,SKUs!$I$5:$I$327,C105,SKUs!$H$5:$H$327,"AD")</f>
        <v>1</v>
      </c>
    </row>
    <row r="106" customFormat="false" ht="15" hidden="false" customHeight="false" outlineLevel="0" collapsed="false">
      <c r="A106" s="17" t="s">
        <v>434</v>
      </c>
      <c r="B106" s="17" t="s">
        <v>1702</v>
      </c>
      <c r="C106" s="27" t="s">
        <v>474</v>
      </c>
      <c r="D106" s="18" t="s">
        <v>473</v>
      </c>
      <c r="E106" s="29" t="s">
        <v>6</v>
      </c>
      <c r="F106" s="18"/>
      <c r="G106" s="17" t="n">
        <f aca="false">COUNTIFS(SKUs!$A$5:$A$327,A106,SKUs!$I$5:$I$327,C106,SKUs!$H$5:$H$327,"BA")</f>
        <v>1</v>
      </c>
    </row>
    <row r="107" customFormat="false" ht="15" hidden="false" customHeight="false" outlineLevel="0" collapsed="false">
      <c r="A107" s="17" t="s">
        <v>434</v>
      </c>
      <c r="B107" s="17" t="s">
        <v>1702</v>
      </c>
      <c r="C107" s="27" t="s">
        <v>479</v>
      </c>
      <c r="D107" s="18" t="s">
        <v>478</v>
      </c>
      <c r="E107" s="29" t="s">
        <v>6</v>
      </c>
      <c r="F107" s="18"/>
      <c r="G107" s="17" t="n">
        <f aca="false">COUNTIFS(SKUs!$A$5:$A$327,A107,SKUs!$I$5:$I$327,C107,SKUs!$H$5:$H$327,"BA")</f>
        <v>1</v>
      </c>
    </row>
    <row r="108" customFormat="false" ht="15" hidden="false" customHeight="false" outlineLevel="0" collapsed="false">
      <c r="A108" s="17" t="s">
        <v>434</v>
      </c>
      <c r="B108" s="17" t="s">
        <v>1702</v>
      </c>
      <c r="C108" s="27" t="s">
        <v>484</v>
      </c>
      <c r="D108" s="18" t="s">
        <v>483</v>
      </c>
      <c r="E108" s="29" t="s">
        <v>6</v>
      </c>
      <c r="F108" s="18"/>
      <c r="G108" s="17" t="n">
        <f aca="false">COUNTIFS(SKUs!$A$5:$A$327,A108,SKUs!$I$5:$I$327,C108,SKUs!$H$5:$H$327,"BA")</f>
        <v>1</v>
      </c>
    </row>
    <row r="109" customFormat="false" ht="15" hidden="false" customHeight="false" outlineLevel="0" collapsed="false">
      <c r="A109" s="17" t="s">
        <v>434</v>
      </c>
      <c r="B109" s="17" t="s">
        <v>1703</v>
      </c>
      <c r="C109" s="27" t="s">
        <v>264</v>
      </c>
      <c r="D109" s="18" t="s">
        <v>488</v>
      </c>
      <c r="E109" s="29" t="s">
        <v>6</v>
      </c>
      <c r="F109" s="18"/>
      <c r="G109" s="17" t="n">
        <f aca="false">COUNTIFS(SKUs!$A$5:$A$327,A109,SKUs!$I$5:$I$327,C109,SKUs!$H$5:$H$327,"AC")</f>
        <v>1</v>
      </c>
    </row>
    <row r="110" customFormat="false" ht="15" hidden="false" customHeight="false" outlineLevel="0" collapsed="false">
      <c r="A110" s="17" t="s">
        <v>434</v>
      </c>
      <c r="B110" s="17" t="s">
        <v>1703</v>
      </c>
      <c r="C110" s="27" t="s">
        <v>493</v>
      </c>
      <c r="D110" s="18" t="s">
        <v>492</v>
      </c>
      <c r="E110" s="29" t="s">
        <v>6</v>
      </c>
      <c r="F110" s="18"/>
      <c r="G110" s="17" t="n">
        <f aca="false">COUNTIFS(SKUs!$A$5:$A$327,A110,SKUs!$I$5:$I$327,C110,SKUs!$H$5:$H$327,"AC")</f>
        <v>1</v>
      </c>
    </row>
    <row r="111" customFormat="false" ht="15" hidden="false" customHeight="false" outlineLevel="0" collapsed="false">
      <c r="A111" s="17" t="s">
        <v>434</v>
      </c>
      <c r="B111" s="17" t="s">
        <v>1703</v>
      </c>
      <c r="C111" s="27" t="s">
        <v>230</v>
      </c>
      <c r="D111" s="18" t="s">
        <v>497</v>
      </c>
      <c r="E111" s="29" t="s">
        <v>6</v>
      </c>
      <c r="F111" s="18"/>
      <c r="G111" s="17" t="n">
        <f aca="false">COUNTIFS(SKUs!$A$5:$A$327,A111,SKUs!$I$5:$I$327,C111,SKUs!$H$5:$H$327,"AC")</f>
        <v>1</v>
      </c>
    </row>
    <row r="112" customFormat="false" ht="15" hidden="false" customHeight="false" outlineLevel="0" collapsed="false">
      <c r="A112" s="17" t="s">
        <v>434</v>
      </c>
      <c r="B112" s="17" t="s">
        <v>1704</v>
      </c>
      <c r="C112" s="27" t="s">
        <v>502</v>
      </c>
      <c r="D112" s="18" t="s">
        <v>501</v>
      </c>
      <c r="E112" s="29" t="s">
        <v>6</v>
      </c>
      <c r="F112" s="18"/>
      <c r="G112" s="17" t="n">
        <f aca="false">COUNTIFS(SKUs!$A$5:$A$327,A112,SKUs!$I$5:$I$327,C112,SKUs!$H$5:$H$327,"AD")</f>
        <v>1</v>
      </c>
    </row>
    <row r="113" customFormat="false" ht="15" hidden="false" customHeight="false" outlineLevel="0" collapsed="false">
      <c r="A113" s="17" t="s">
        <v>434</v>
      </c>
      <c r="B113" s="17" t="s">
        <v>1703</v>
      </c>
      <c r="C113" s="27" t="s">
        <v>507</v>
      </c>
      <c r="D113" s="18" t="s">
        <v>506</v>
      </c>
      <c r="E113" s="29" t="s">
        <v>6</v>
      </c>
      <c r="F113" s="18"/>
      <c r="G113" s="17" t="n">
        <f aca="false">COUNTIFS(SKUs!$A$5:$A$327,A113,SKUs!$I$5:$I$327,C113,SKUs!$H$5:$H$327,"AC")</f>
        <v>1</v>
      </c>
    </row>
    <row r="114" customFormat="false" ht="15" hidden="false" customHeight="false" outlineLevel="0" collapsed="false">
      <c r="A114" s="17" t="s">
        <v>434</v>
      </c>
      <c r="B114" s="17" t="s">
        <v>1703</v>
      </c>
      <c r="C114" s="27" t="s">
        <v>269</v>
      </c>
      <c r="D114" s="18" t="s">
        <v>511</v>
      </c>
      <c r="E114" s="29" t="s">
        <v>6</v>
      </c>
      <c r="F114" s="18"/>
      <c r="G114" s="17" t="n">
        <f aca="false">COUNTIFS(SKUs!$A$5:$A$327,A114,SKUs!$I$5:$I$327,C114,SKUs!$H$5:$H$327,"AC")</f>
        <v>1</v>
      </c>
    </row>
    <row r="115" customFormat="false" ht="15" hidden="false" customHeight="false" outlineLevel="0" collapsed="false">
      <c r="A115" s="17" t="s">
        <v>434</v>
      </c>
      <c r="B115" s="17" t="s">
        <v>1703</v>
      </c>
      <c r="C115" s="27" t="s">
        <v>236</v>
      </c>
      <c r="D115" s="18" t="s">
        <v>515</v>
      </c>
      <c r="E115" s="29" t="s">
        <v>6</v>
      </c>
      <c r="F115" s="18"/>
      <c r="G115" s="17" t="n">
        <f aca="false">COUNTIFS(SKUs!$A$5:$A$327,A115,SKUs!$I$5:$I$327,C115,SKUs!$H$5:$H$327,"AC")</f>
        <v>1</v>
      </c>
    </row>
    <row r="116" customFormat="false" ht="15" hidden="false" customHeight="false" outlineLevel="0" collapsed="false">
      <c r="A116" s="17" t="s">
        <v>434</v>
      </c>
      <c r="B116" s="17" t="s">
        <v>1703</v>
      </c>
      <c r="C116" s="27" t="s">
        <v>279</v>
      </c>
      <c r="D116" s="18" t="s">
        <v>519</v>
      </c>
      <c r="E116" s="29" t="s">
        <v>6</v>
      </c>
      <c r="F116" s="18"/>
      <c r="G116" s="17" t="n">
        <f aca="false">COUNTIFS(SKUs!$A$5:$A$327,A116,SKUs!$I$5:$I$327,C116,SKUs!$H$5:$H$327,"AC")</f>
        <v>1</v>
      </c>
    </row>
    <row r="117" customFormat="false" ht="15" hidden="false" customHeight="false" outlineLevel="0" collapsed="false">
      <c r="A117" s="17" t="s">
        <v>434</v>
      </c>
      <c r="B117" s="17" t="s">
        <v>1703</v>
      </c>
      <c r="C117" s="27" t="s">
        <v>524</v>
      </c>
      <c r="D117" s="18" t="s">
        <v>523</v>
      </c>
      <c r="E117" s="29" t="s">
        <v>6</v>
      </c>
      <c r="F117" s="18"/>
      <c r="G117" s="17" t="n">
        <f aca="false">COUNTIFS(SKUs!$A$5:$A$327,A117,SKUs!$I$5:$I$327,C117,SKUs!$H$5:$H$327,"AC")</f>
        <v>1</v>
      </c>
    </row>
    <row r="118" customFormat="false" ht="15" hidden="false" customHeight="false" outlineLevel="0" collapsed="false">
      <c r="A118" s="17" t="s">
        <v>434</v>
      </c>
      <c r="B118" s="17" t="s">
        <v>1705</v>
      </c>
      <c r="C118" s="27" t="s">
        <v>530</v>
      </c>
      <c r="D118" s="18" t="s">
        <v>528</v>
      </c>
      <c r="E118" s="29" t="s">
        <v>6</v>
      </c>
      <c r="F118" s="18"/>
      <c r="G118" s="17" t="n">
        <f aca="false">COUNTIFS(SKUs!$A$5:$A$327,A118,SKUs!$I$5:$I$327,C118,SKUs!$H$5:$H$327,"OV")</f>
        <v>1</v>
      </c>
    </row>
    <row r="119" customFormat="false" ht="15" hidden="false" customHeight="false" outlineLevel="0" collapsed="false">
      <c r="A119" s="17" t="s">
        <v>434</v>
      </c>
      <c r="B119" s="17" t="s">
        <v>1703</v>
      </c>
      <c r="C119" s="27" t="s">
        <v>536</v>
      </c>
      <c r="D119" s="18" t="s">
        <v>535</v>
      </c>
      <c r="E119" s="29" t="s">
        <v>6</v>
      </c>
      <c r="F119" s="18"/>
      <c r="G119" s="17" t="n">
        <f aca="false">COUNTIFS(SKUs!$A$5:$A$327,A119,SKUs!$I$5:$I$327,C119,SKUs!$H$5:$H$327,"AC")</f>
        <v>1</v>
      </c>
    </row>
    <row r="120" customFormat="false" ht="15" hidden="false" customHeight="false" outlineLevel="0" collapsed="false">
      <c r="A120" s="17" t="s">
        <v>434</v>
      </c>
      <c r="B120" s="17" t="s">
        <v>1703</v>
      </c>
      <c r="C120" s="27" t="s">
        <v>541</v>
      </c>
      <c r="D120" s="18" t="s">
        <v>540</v>
      </c>
      <c r="E120" s="29" t="s">
        <v>6</v>
      </c>
      <c r="F120" s="18"/>
      <c r="G120" s="17" t="n">
        <f aca="false">COUNTIFS(SKUs!$A$5:$A$327,A120,SKUs!$I$5:$I$327,C120,SKUs!$H$5:$H$327,"AC")</f>
        <v>1</v>
      </c>
    </row>
    <row r="121" customFormat="false" ht="15" hidden="false" customHeight="false" outlineLevel="0" collapsed="false">
      <c r="A121" s="17" t="s">
        <v>434</v>
      </c>
      <c r="B121" s="17" t="s">
        <v>1703</v>
      </c>
      <c r="C121" s="27" t="s">
        <v>546</v>
      </c>
      <c r="D121" s="18" t="s">
        <v>545</v>
      </c>
      <c r="E121" s="29" t="s">
        <v>6</v>
      </c>
      <c r="F121" s="18"/>
      <c r="G121" s="17" t="n">
        <f aca="false">COUNTIFS(SKUs!$A$5:$A$327,A121,SKUs!$I$5:$I$327,C121,SKUs!$H$5:$H$327,"AC")</f>
        <v>1</v>
      </c>
    </row>
    <row r="122" customFormat="false" ht="15" hidden="false" customHeight="false" outlineLevel="0" collapsed="false">
      <c r="A122" s="17" t="s">
        <v>434</v>
      </c>
      <c r="B122" s="17" t="s">
        <v>1698</v>
      </c>
      <c r="C122" s="27" t="s">
        <v>551</v>
      </c>
      <c r="D122" s="18" t="s">
        <v>550</v>
      </c>
      <c r="E122" s="29" t="s">
        <v>6</v>
      </c>
      <c r="F122" s="18"/>
      <c r="G122" s="17" t="n">
        <f aca="false">COUNTIFS(SKUs!$A$5:$A$327,A122,SKUs!$I$5:$I$327,C122,SKUs!$H$5:$H$327,"FR")</f>
        <v>1</v>
      </c>
    </row>
    <row r="123" customFormat="false" ht="15" hidden="false" customHeight="false" outlineLevel="0" collapsed="false">
      <c r="A123" s="17" t="s">
        <v>434</v>
      </c>
      <c r="B123" s="17" t="s">
        <v>1698</v>
      </c>
      <c r="C123" s="27" t="s">
        <v>558</v>
      </c>
      <c r="D123" s="18" t="s">
        <v>556</v>
      </c>
      <c r="E123" s="29" t="s">
        <v>6</v>
      </c>
      <c r="F123" s="18"/>
      <c r="G123" s="17" t="n">
        <f aca="false">COUNTIFS(SKUs!$A$5:$A$327,A123,SKUs!$I$5:$I$327,C123,SKUs!$H$5:$H$327,"FR")</f>
        <v>1</v>
      </c>
    </row>
    <row r="124" customFormat="false" ht="15" hidden="false" customHeight="false" outlineLevel="0" collapsed="false">
      <c r="A124" s="17" t="s">
        <v>434</v>
      </c>
      <c r="B124" s="17" t="s">
        <v>1706</v>
      </c>
      <c r="C124" s="27" t="s">
        <v>225</v>
      </c>
      <c r="D124" s="18" t="s">
        <v>562</v>
      </c>
      <c r="E124" s="29" t="s">
        <v>6</v>
      </c>
      <c r="F124" s="18"/>
      <c r="G124" s="17" t="n">
        <f aca="false">COUNTIFS(SKUs!$A$5:$A$327,A124,SKUs!$I$5:$I$327,C124,SKUs!$H$5:$H$327,"LT")</f>
        <v>1</v>
      </c>
    </row>
    <row r="125" customFormat="false" ht="15" hidden="false" customHeight="false" outlineLevel="0" collapsed="false">
      <c r="A125" s="17" t="s">
        <v>434</v>
      </c>
      <c r="B125" s="17" t="s">
        <v>1706</v>
      </c>
      <c r="C125" s="27" t="s">
        <v>56</v>
      </c>
      <c r="D125" s="18" t="s">
        <v>567</v>
      </c>
      <c r="E125" s="29" t="s">
        <v>6</v>
      </c>
      <c r="F125" s="18"/>
      <c r="G125" s="17" t="n">
        <f aca="false">COUNTIFS(SKUs!$A$5:$A$327,A125,SKUs!$I$5:$I$327,C125,SKUs!$H$5:$H$327,"LT")</f>
        <v>1</v>
      </c>
    </row>
    <row r="126" customFormat="false" ht="15" hidden="false" customHeight="false" outlineLevel="0" collapsed="false">
      <c r="A126" s="17" t="s">
        <v>434</v>
      </c>
      <c r="B126" s="17" t="s">
        <v>1703</v>
      </c>
      <c r="C126" s="27" t="s">
        <v>573</v>
      </c>
      <c r="D126" s="18" t="s">
        <v>572</v>
      </c>
      <c r="E126" s="29" t="s">
        <v>6</v>
      </c>
      <c r="F126" s="18"/>
      <c r="G126" s="17" t="n">
        <f aca="false">COUNTIFS(SKUs!$A$5:$A$327,A126,SKUs!$I$5:$I$327,C126,SKUs!$H$5:$H$327,"AC")</f>
        <v>1</v>
      </c>
    </row>
    <row r="127" customFormat="false" ht="15" hidden="false" customHeight="false" outlineLevel="0" collapsed="false">
      <c r="A127" s="17" t="s">
        <v>434</v>
      </c>
      <c r="B127" s="17" t="s">
        <v>1703</v>
      </c>
      <c r="C127" s="27" t="s">
        <v>578</v>
      </c>
      <c r="D127" s="18" t="s">
        <v>577</v>
      </c>
      <c r="E127" s="29" t="s">
        <v>6</v>
      </c>
      <c r="F127" s="18"/>
      <c r="G127" s="17" t="n">
        <f aca="false">COUNTIFS(SKUs!$A$5:$A$327,A127,SKUs!$I$5:$I$327,C127,SKUs!$H$5:$H$327,"AC")</f>
        <v>1</v>
      </c>
    </row>
    <row r="128" customFormat="false" ht="15" hidden="false" customHeight="false" outlineLevel="0" collapsed="false">
      <c r="A128" s="17" t="s">
        <v>434</v>
      </c>
      <c r="B128" s="17" t="s">
        <v>1703</v>
      </c>
      <c r="C128" s="27" t="s">
        <v>583</v>
      </c>
      <c r="D128" s="18" t="s">
        <v>582</v>
      </c>
      <c r="E128" s="29" t="s">
        <v>6</v>
      </c>
      <c r="F128" s="18"/>
      <c r="G128" s="17" t="n">
        <f aca="false">COUNTIFS(SKUs!$A$5:$A$327,A128,SKUs!$I$5:$I$327,C128,SKUs!$H$5:$H$327,"AC")</f>
        <v>1</v>
      </c>
    </row>
    <row r="129" customFormat="false" ht="15" hidden="false" customHeight="false" outlineLevel="0" collapsed="false">
      <c r="A129" s="17" t="s">
        <v>434</v>
      </c>
      <c r="B129" s="17" t="s">
        <v>1703</v>
      </c>
      <c r="C129" s="27" t="s">
        <v>588</v>
      </c>
      <c r="D129" s="18" t="s">
        <v>587</v>
      </c>
      <c r="E129" s="29" t="s">
        <v>6</v>
      </c>
      <c r="F129" s="18"/>
      <c r="G129" s="17" t="n">
        <f aca="false">COUNTIFS(SKUs!$A$5:$A$327,A129,SKUs!$I$5:$I$327,C129,SKUs!$H$5:$H$327,"AC")</f>
        <v>1</v>
      </c>
    </row>
    <row r="130" customFormat="false" ht="15" hidden="false" customHeight="false" outlineLevel="0" collapsed="false">
      <c r="A130" s="17" t="s">
        <v>434</v>
      </c>
      <c r="B130" s="17" t="s">
        <v>1703</v>
      </c>
      <c r="C130" s="27" t="s">
        <v>593</v>
      </c>
      <c r="D130" s="18" t="s">
        <v>592</v>
      </c>
      <c r="E130" s="29" t="s">
        <v>6</v>
      </c>
      <c r="F130" s="18"/>
      <c r="G130" s="17" t="n">
        <f aca="false">COUNTIFS(SKUs!$A$5:$A$327,A130,SKUs!$I$5:$I$327,C130,SKUs!$H$5:$H$327,"AC")</f>
        <v>1</v>
      </c>
    </row>
    <row r="131" customFormat="false" ht="15" hidden="false" customHeight="false" outlineLevel="0" collapsed="false">
      <c r="A131" s="17" t="s">
        <v>434</v>
      </c>
      <c r="B131" s="17" t="s">
        <v>1702</v>
      </c>
      <c r="C131" s="27" t="s">
        <v>255</v>
      </c>
      <c r="D131" s="18" t="s">
        <v>597</v>
      </c>
      <c r="E131" s="28" t="s">
        <v>1541</v>
      </c>
      <c r="F131" s="18"/>
      <c r="G131" s="17" t="n">
        <f aca="false">COUNTIFS(SKUs!$A$5:$A$327,A131,SKUs!$I$5:$I$327,C131,SKUs!$H$5:$H$327,"BA")</f>
        <v>1</v>
      </c>
    </row>
    <row r="132" customFormat="false" ht="15" hidden="false" customHeight="false" outlineLevel="0" collapsed="false">
      <c r="A132" s="17" t="s">
        <v>434</v>
      </c>
      <c r="B132" s="17" t="s">
        <v>1706</v>
      </c>
      <c r="C132" s="27" t="s">
        <v>71</v>
      </c>
      <c r="D132" s="18" t="s">
        <v>85</v>
      </c>
      <c r="E132" s="29" t="s">
        <v>6</v>
      </c>
      <c r="F132" s="18"/>
      <c r="G132" s="17" t="n">
        <f aca="false">COUNTIFS(SKUs!$A$5:$A$327,A132,SKUs!$I$5:$I$327,C132,SKUs!$H$5:$H$327,"LT")</f>
        <v>1</v>
      </c>
    </row>
    <row r="133" customFormat="false" ht="15" hidden="false" customHeight="false" outlineLevel="0" collapsed="false">
      <c r="A133" s="17" t="s">
        <v>434</v>
      </c>
      <c r="B133" s="17" t="s">
        <v>1704</v>
      </c>
      <c r="C133" s="27" t="s">
        <v>606</v>
      </c>
      <c r="D133" s="18" t="s">
        <v>605</v>
      </c>
      <c r="E133" s="29" t="s">
        <v>6</v>
      </c>
      <c r="F133" s="18"/>
      <c r="G133" s="17" t="n">
        <f aca="false">COUNTIFS(SKUs!$A$5:$A$327,A133,SKUs!$I$5:$I$327,C133,SKUs!$H$5:$H$327,"AD")</f>
        <v>1</v>
      </c>
    </row>
    <row r="134" customFormat="false" ht="15" hidden="false" customHeight="false" outlineLevel="0" collapsed="false">
      <c r="A134" s="17" t="s">
        <v>434</v>
      </c>
      <c r="B134" s="17" t="s">
        <v>1702</v>
      </c>
      <c r="C134" s="27" t="s">
        <v>611</v>
      </c>
      <c r="D134" s="18" t="s">
        <v>610</v>
      </c>
      <c r="E134" s="29" t="s">
        <v>6</v>
      </c>
      <c r="F134" s="18"/>
      <c r="G134" s="17" t="n">
        <f aca="false">COUNTIFS(SKUs!$A$5:$A$327,A134,SKUs!$I$5:$I$327,C134,SKUs!$H$5:$H$327,"BA")</f>
        <v>1</v>
      </c>
    </row>
    <row r="135" customFormat="false" ht="15" hidden="false" customHeight="false" outlineLevel="0" collapsed="false">
      <c r="A135" s="17" t="s">
        <v>434</v>
      </c>
      <c r="B135" s="17" t="s">
        <v>1707</v>
      </c>
      <c r="C135" s="27" t="s">
        <v>617</v>
      </c>
      <c r="D135" s="18" t="s">
        <v>615</v>
      </c>
      <c r="E135" s="29" t="s">
        <v>6</v>
      </c>
      <c r="F135" s="18"/>
      <c r="G135" s="17" t="n">
        <f aca="false">COUNTIFS(SKUs!$A$5:$A$327,A135,SKUs!$I$5:$I$327,C135,SKUs!$H$5:$H$327,"CE")</f>
        <v>1</v>
      </c>
    </row>
    <row r="136" customFormat="false" ht="15" hidden="false" customHeight="false" outlineLevel="0" collapsed="false">
      <c r="A136" s="17" t="s">
        <v>434</v>
      </c>
      <c r="B136" s="17" t="s">
        <v>1707</v>
      </c>
      <c r="C136" s="27" t="s">
        <v>622</v>
      </c>
      <c r="D136" s="18" t="s">
        <v>621</v>
      </c>
      <c r="E136" s="29" t="s">
        <v>6</v>
      </c>
      <c r="F136" s="18"/>
      <c r="G136" s="17" t="n">
        <f aca="false">COUNTIFS(SKUs!$A$5:$A$327,A136,SKUs!$I$5:$I$327,C136,SKUs!$H$5:$H$327,"CE")</f>
        <v>1</v>
      </c>
    </row>
    <row r="137" customFormat="false" ht="15" hidden="false" customHeight="false" outlineLevel="0" collapsed="false">
      <c r="A137" s="17" t="s">
        <v>434</v>
      </c>
      <c r="B137" s="17" t="s">
        <v>1704</v>
      </c>
      <c r="C137" s="27" t="s">
        <v>627</v>
      </c>
      <c r="D137" s="18" t="s">
        <v>626</v>
      </c>
      <c r="E137" s="29" t="s">
        <v>6</v>
      </c>
      <c r="F137" s="18"/>
      <c r="G137" s="17" t="n">
        <f aca="false">COUNTIFS(SKUs!$A$5:$A$327,A137,SKUs!$I$5:$I$327,C137,SKUs!$H$5:$H$327,"AD")</f>
        <v>1</v>
      </c>
    </row>
    <row r="138" customFormat="false" ht="15" hidden="false" customHeight="false" outlineLevel="0" collapsed="false">
      <c r="A138" s="17" t="s">
        <v>434</v>
      </c>
      <c r="B138" s="17" t="s">
        <v>1698</v>
      </c>
      <c r="C138" s="27" t="s">
        <v>632</v>
      </c>
      <c r="D138" s="18" t="s">
        <v>1708</v>
      </c>
      <c r="E138" s="28" t="s">
        <v>1700</v>
      </c>
      <c r="F138" s="18"/>
      <c r="G138" s="17" t="n">
        <f aca="false">COUNTIFS(SKUs!$A$5:$A$327,A138,SKUs!$I$5:$I$327,C138,SKUs!$H$5:$H$327,"FR")</f>
        <v>1</v>
      </c>
    </row>
    <row r="139" customFormat="false" ht="15" hidden="false" customHeight="false" outlineLevel="0" collapsed="false">
      <c r="A139" s="17" t="s">
        <v>434</v>
      </c>
      <c r="B139" s="17" t="s">
        <v>1702</v>
      </c>
      <c r="C139" s="27" t="s">
        <v>637</v>
      </c>
      <c r="D139" s="18" t="s">
        <v>636</v>
      </c>
      <c r="E139" s="29" t="s">
        <v>6</v>
      </c>
      <c r="F139" s="18"/>
      <c r="G139" s="17" t="n">
        <f aca="false">COUNTIFS(SKUs!$A$5:$A$327,A139,SKUs!$I$5:$I$327,C139,SKUs!$H$5:$H$327,"BA")</f>
        <v>1</v>
      </c>
    </row>
    <row r="140" customFormat="false" ht="15" hidden="false" customHeight="false" outlineLevel="0" collapsed="false">
      <c r="A140" s="17" t="s">
        <v>434</v>
      </c>
      <c r="B140" s="17" t="s">
        <v>1703</v>
      </c>
      <c r="C140" s="27" t="s">
        <v>642</v>
      </c>
      <c r="D140" s="18" t="s">
        <v>641</v>
      </c>
      <c r="E140" s="29" t="s">
        <v>6</v>
      </c>
      <c r="F140" s="18"/>
      <c r="G140" s="17" t="n">
        <f aca="false">COUNTIFS(SKUs!$A$5:$A$327,A140,SKUs!$I$5:$I$327,C140,SKUs!$H$5:$H$327,"AC")</f>
        <v>1</v>
      </c>
    </row>
    <row r="141" customFormat="false" ht="15" hidden="false" customHeight="false" outlineLevel="0" collapsed="false">
      <c r="A141" s="17" t="s">
        <v>434</v>
      </c>
      <c r="B141" s="17" t="s">
        <v>1703</v>
      </c>
      <c r="C141" s="27" t="s">
        <v>647</v>
      </c>
      <c r="D141" s="18" t="s">
        <v>646</v>
      </c>
      <c r="E141" s="29" t="s">
        <v>6</v>
      </c>
      <c r="F141" s="18"/>
      <c r="G141" s="17" t="n">
        <f aca="false">COUNTIFS(SKUs!$A$5:$A$327,A141,SKUs!$I$5:$I$327,C141,SKUs!$H$5:$H$327,"AC")</f>
        <v>1</v>
      </c>
    </row>
    <row r="142" customFormat="false" ht="15" hidden="false" customHeight="false" outlineLevel="0" collapsed="false">
      <c r="A142" s="17" t="s">
        <v>434</v>
      </c>
      <c r="B142" s="17" t="s">
        <v>1703</v>
      </c>
      <c r="C142" s="27" t="s">
        <v>652</v>
      </c>
      <c r="D142" s="18" t="s">
        <v>651</v>
      </c>
      <c r="E142" s="29" t="s">
        <v>6</v>
      </c>
      <c r="F142" s="18"/>
      <c r="G142" s="17" t="n">
        <f aca="false">COUNTIFS(SKUs!$A$5:$A$327,A142,SKUs!$I$5:$I$327,C142,SKUs!$H$5:$H$327,"AC")</f>
        <v>1</v>
      </c>
    </row>
    <row r="143" customFormat="false" ht="15" hidden="false" customHeight="false" outlineLevel="0" collapsed="false">
      <c r="A143" s="17" t="s">
        <v>434</v>
      </c>
      <c r="B143" s="17" t="s">
        <v>1698</v>
      </c>
      <c r="C143" s="27" t="s">
        <v>657</v>
      </c>
      <c r="D143" s="18" t="s">
        <v>1709</v>
      </c>
      <c r="E143" s="28" t="s">
        <v>1700</v>
      </c>
      <c r="F143" s="18"/>
      <c r="G143" s="17" t="n">
        <f aca="false">COUNTIFS(SKUs!$A$5:$A$327,A143,SKUs!$I$5:$I$327,C143,SKUs!$H$5:$H$327,"FR")</f>
        <v>2</v>
      </c>
    </row>
    <row r="144" customFormat="false" ht="15" hidden="false" customHeight="false" outlineLevel="0" collapsed="false">
      <c r="A144" s="17" t="s">
        <v>434</v>
      </c>
      <c r="B144" s="17" t="s">
        <v>1706</v>
      </c>
      <c r="C144" s="27" t="s">
        <v>288</v>
      </c>
      <c r="D144" s="18" t="s">
        <v>661</v>
      </c>
      <c r="E144" s="29" t="s">
        <v>6</v>
      </c>
      <c r="F144" s="18"/>
      <c r="G144" s="17" t="n">
        <f aca="false">COUNTIFS(SKUs!$A$5:$A$327,A144,SKUs!$I$5:$I$327,C144,SKUs!$H$5:$H$327,"LT")</f>
        <v>1</v>
      </c>
    </row>
    <row r="145" customFormat="false" ht="15" hidden="false" customHeight="false" outlineLevel="0" collapsed="false">
      <c r="A145" s="17" t="s">
        <v>434</v>
      </c>
      <c r="B145" s="17" t="s">
        <v>1698</v>
      </c>
      <c r="C145" s="27" t="s">
        <v>666</v>
      </c>
      <c r="D145" s="18" t="s">
        <v>665</v>
      </c>
      <c r="E145" s="29" t="s">
        <v>6</v>
      </c>
      <c r="F145" s="18"/>
      <c r="G145" s="17" t="n">
        <f aca="false">COUNTIFS(SKUs!$A$5:$A$327,A145,SKUs!$I$5:$I$327,C145,SKUs!$H$5:$H$327,"FR")</f>
        <v>1</v>
      </c>
    </row>
    <row r="146" customFormat="false" ht="15" hidden="false" customHeight="false" outlineLevel="0" collapsed="false">
      <c r="A146" s="17" t="s">
        <v>434</v>
      </c>
      <c r="B146" s="17" t="s">
        <v>1706</v>
      </c>
      <c r="C146" s="27" t="s">
        <v>76</v>
      </c>
      <c r="D146" s="18" t="s">
        <v>670</v>
      </c>
      <c r="E146" s="29" t="s">
        <v>6</v>
      </c>
      <c r="F146" s="18"/>
      <c r="G146" s="17" t="n">
        <f aca="false">COUNTIFS(SKUs!$A$5:$A$327,A146,SKUs!$I$5:$I$327,C146,SKUs!$H$5:$H$327,"LT")</f>
        <v>1</v>
      </c>
    </row>
    <row r="147" customFormat="false" ht="15" hidden="false" customHeight="false" outlineLevel="0" collapsed="false">
      <c r="A147" s="17" t="s">
        <v>434</v>
      </c>
      <c r="B147" s="17" t="s">
        <v>1706</v>
      </c>
      <c r="C147" s="27" t="s">
        <v>66</v>
      </c>
      <c r="D147" s="18" t="s">
        <v>674</v>
      </c>
      <c r="E147" s="29" t="s">
        <v>6</v>
      </c>
      <c r="F147" s="18"/>
      <c r="G147" s="17" t="n">
        <f aca="false">COUNTIFS(SKUs!$A$5:$A$327,A147,SKUs!$I$5:$I$327,C147,SKUs!$H$5:$H$327,"LT")</f>
        <v>1</v>
      </c>
    </row>
    <row r="148" customFormat="false" ht="15" hidden="false" customHeight="false" outlineLevel="0" collapsed="false">
      <c r="A148" s="17" t="s">
        <v>434</v>
      </c>
      <c r="B148" s="17" t="s">
        <v>1706</v>
      </c>
      <c r="C148" s="27" t="s">
        <v>81</v>
      </c>
      <c r="D148" s="18" t="s">
        <v>678</v>
      </c>
      <c r="E148" s="29" t="s">
        <v>6</v>
      </c>
      <c r="F148" s="18"/>
      <c r="G148" s="17" t="n">
        <f aca="false">COUNTIFS(SKUs!$A$5:$A$327,A148,SKUs!$I$5:$I$327,C148,SKUs!$H$5:$H$327,"LT")</f>
        <v>1</v>
      </c>
    </row>
    <row r="149" customFormat="false" ht="15" hidden="false" customHeight="false" outlineLevel="0" collapsed="false">
      <c r="A149" s="17" t="s">
        <v>434</v>
      </c>
      <c r="B149" s="17" t="s">
        <v>1706</v>
      </c>
      <c r="C149" s="27" t="s">
        <v>220</v>
      </c>
      <c r="D149" s="18" t="s">
        <v>682</v>
      </c>
      <c r="E149" s="28" t="s">
        <v>1541</v>
      </c>
      <c r="F149" s="18"/>
      <c r="G149" s="17" t="n">
        <f aca="false">COUNTIFS(SKUs!$A$5:$A$327,A149,SKUs!$I$5:$I$327,C149,SKUs!$H$5:$H$327,"LT")</f>
        <v>1</v>
      </c>
    </row>
    <row r="150" customFormat="false" ht="15" hidden="false" customHeight="false" outlineLevel="0" collapsed="false">
      <c r="A150" s="17" t="s">
        <v>434</v>
      </c>
      <c r="B150" s="17" t="s">
        <v>1698</v>
      </c>
      <c r="C150" s="27" t="s">
        <v>687</v>
      </c>
      <c r="D150" s="18" t="s">
        <v>1710</v>
      </c>
      <c r="E150" s="28" t="s">
        <v>1700</v>
      </c>
      <c r="F150" s="18"/>
      <c r="G150" s="17" t="n">
        <f aca="false">COUNTIFS(SKUs!$A$5:$A$327,A150,SKUs!$I$5:$I$327,C150,SKUs!$H$5:$H$327,"FR")</f>
        <v>2</v>
      </c>
    </row>
    <row r="151" customFormat="false" ht="15" hidden="false" customHeight="false" outlineLevel="0" collapsed="false">
      <c r="A151" s="17" t="s">
        <v>434</v>
      </c>
      <c r="B151" s="17" t="s">
        <v>1698</v>
      </c>
      <c r="C151" s="27" t="s">
        <v>692</v>
      </c>
      <c r="D151" s="18" t="s">
        <v>691</v>
      </c>
      <c r="E151" s="29" t="s">
        <v>6</v>
      </c>
      <c r="F151" s="18"/>
      <c r="G151" s="17" t="n">
        <f aca="false">COUNTIFS(SKUs!$A$5:$A$327,A151,SKUs!$I$5:$I$327,C151,SKUs!$H$5:$H$327,"FR")</f>
        <v>1</v>
      </c>
    </row>
    <row r="152" customFormat="false" ht="15" hidden="false" customHeight="false" outlineLevel="0" collapsed="false">
      <c r="A152" s="17" t="s">
        <v>434</v>
      </c>
      <c r="B152" s="17" t="s">
        <v>1703</v>
      </c>
      <c r="C152" s="27" t="s">
        <v>698</v>
      </c>
      <c r="D152" s="18" t="s">
        <v>697</v>
      </c>
      <c r="E152" s="29" t="s">
        <v>6</v>
      </c>
      <c r="F152" s="18"/>
      <c r="G152" s="17" t="n">
        <f aca="false">COUNTIFS(SKUs!$A$5:$A$327,A152,SKUs!$I$5:$I$327,C152,SKUs!$H$5:$H$327,"AC")</f>
        <v>1</v>
      </c>
    </row>
    <row r="153" customFormat="false" ht="15" hidden="false" customHeight="false" outlineLevel="0" collapsed="false">
      <c r="A153" s="17" t="s">
        <v>434</v>
      </c>
      <c r="B153" s="17" t="s">
        <v>1702</v>
      </c>
      <c r="C153" s="27" t="s">
        <v>703</v>
      </c>
      <c r="D153" s="18" t="s">
        <v>702</v>
      </c>
      <c r="E153" s="29" t="s">
        <v>6</v>
      </c>
      <c r="F153" s="18"/>
      <c r="G153" s="17" t="n">
        <f aca="false">COUNTIFS(SKUs!$A$5:$A$327,A153,SKUs!$I$5:$I$327,C153,SKUs!$H$5:$H$327,"BA")</f>
        <v>1</v>
      </c>
    </row>
    <row r="154" customFormat="false" ht="15" hidden="false" customHeight="false" outlineLevel="0" collapsed="false">
      <c r="A154" s="17" t="s">
        <v>434</v>
      </c>
      <c r="B154" s="17" t="s">
        <v>1698</v>
      </c>
      <c r="C154" s="27" t="s">
        <v>708</v>
      </c>
      <c r="D154" s="18" t="s">
        <v>1711</v>
      </c>
      <c r="E154" s="28" t="s">
        <v>1700</v>
      </c>
      <c r="F154" s="18"/>
      <c r="G154" s="17" t="n">
        <f aca="false">COUNTIFS(SKUs!$A$5:$A$327,A154,SKUs!$I$5:$I$327,C154,SKUs!$H$5:$H$327,"FR")</f>
        <v>3</v>
      </c>
    </row>
    <row r="155" customFormat="false" ht="15" hidden="false" customHeight="false" outlineLevel="0" collapsed="false">
      <c r="A155" s="17" t="s">
        <v>434</v>
      </c>
      <c r="B155" s="17" t="s">
        <v>1706</v>
      </c>
      <c r="C155" s="27" t="s">
        <v>356</v>
      </c>
      <c r="D155" s="18" t="s">
        <v>712</v>
      </c>
      <c r="E155" s="29" t="s">
        <v>6</v>
      </c>
      <c r="F155" s="18"/>
      <c r="G155" s="17" t="n">
        <f aca="false">COUNTIFS(SKUs!$A$5:$A$327,A155,SKUs!$I$5:$I$327,C155,SKUs!$H$5:$H$327,"LT")</f>
        <v>1</v>
      </c>
    </row>
    <row r="156" customFormat="false" ht="15" hidden="false" customHeight="false" outlineLevel="0" collapsed="false">
      <c r="A156" s="17" t="s">
        <v>434</v>
      </c>
      <c r="B156" s="17" t="s">
        <v>1698</v>
      </c>
      <c r="C156" s="27" t="s">
        <v>717</v>
      </c>
      <c r="D156" s="18" t="s">
        <v>1712</v>
      </c>
      <c r="E156" s="28" t="s">
        <v>1700</v>
      </c>
      <c r="F156" s="18"/>
      <c r="G156" s="17" t="n">
        <f aca="false">COUNTIFS(SKUs!$A$5:$A$327,A156,SKUs!$I$5:$I$327,C156,SKUs!$H$5:$H$327,"FR")</f>
        <v>3</v>
      </c>
    </row>
    <row r="157" customFormat="false" ht="15" hidden="false" customHeight="false" outlineLevel="0" collapsed="false">
      <c r="A157" s="17" t="s">
        <v>434</v>
      </c>
      <c r="B157" s="17" t="s">
        <v>1698</v>
      </c>
      <c r="C157" s="27" t="s">
        <v>722</v>
      </c>
      <c r="D157" s="18" t="s">
        <v>721</v>
      </c>
      <c r="E157" s="29" t="s">
        <v>6</v>
      </c>
      <c r="F157" s="18"/>
      <c r="G157" s="17" t="n">
        <f aca="false">COUNTIFS(SKUs!$A$5:$A$327,A157,SKUs!$I$5:$I$327,C157,SKUs!$H$5:$H$327,"FR")</f>
        <v>1</v>
      </c>
    </row>
    <row r="158" customFormat="false" ht="15" hidden="false" customHeight="false" outlineLevel="0" collapsed="false">
      <c r="A158" s="17" t="s">
        <v>434</v>
      </c>
      <c r="B158" s="17" t="s">
        <v>1713</v>
      </c>
      <c r="C158" s="27" t="s">
        <v>729</v>
      </c>
      <c r="D158" s="18" t="s">
        <v>727</v>
      </c>
      <c r="E158" s="29" t="s">
        <v>6</v>
      </c>
      <c r="F158" s="18"/>
      <c r="G158" s="17" t="n">
        <f aca="false">COUNTIFS(SKUs!$A$5:$A$327,A158,SKUs!$I$5:$I$327,C158,SKUs!$H$5:$H$327,"GO")</f>
        <v>1</v>
      </c>
    </row>
    <row r="159" customFormat="false" ht="15" hidden="false" customHeight="false" outlineLevel="0" collapsed="false">
      <c r="A159" s="17" t="s">
        <v>434</v>
      </c>
      <c r="B159" s="17" t="s">
        <v>1706</v>
      </c>
      <c r="C159" s="27" t="s">
        <v>336</v>
      </c>
      <c r="D159" s="18" t="s">
        <v>733</v>
      </c>
      <c r="E159" s="29" t="s">
        <v>6</v>
      </c>
      <c r="F159" s="18"/>
      <c r="G159" s="17" t="n">
        <f aca="false">COUNTIFS(SKUs!$A$5:$A$327,A159,SKUs!$I$5:$I$327,C159,SKUs!$H$5:$H$327,"LT")</f>
        <v>1</v>
      </c>
    </row>
    <row r="160" customFormat="false" ht="15" hidden="false" customHeight="false" outlineLevel="0" collapsed="false">
      <c r="A160" s="17" t="s">
        <v>434</v>
      </c>
      <c r="B160" s="17" t="s">
        <v>1698</v>
      </c>
      <c r="C160" s="27" t="s">
        <v>738</v>
      </c>
      <c r="D160" s="18" t="s">
        <v>1714</v>
      </c>
      <c r="E160" s="28" t="s">
        <v>1700</v>
      </c>
      <c r="F160" s="18"/>
      <c r="G160" s="17" t="n">
        <f aca="false">COUNTIFS(SKUs!$A$5:$A$327,A160,SKUs!$I$5:$I$327,C160,SKUs!$H$5:$H$327,"FR")</f>
        <v>1</v>
      </c>
    </row>
    <row r="161" customFormat="false" ht="15" hidden="false" customHeight="false" outlineLevel="0" collapsed="false">
      <c r="A161" s="17" t="s">
        <v>434</v>
      </c>
      <c r="B161" s="17" t="s">
        <v>1698</v>
      </c>
      <c r="C161" s="27" t="s">
        <v>743</v>
      </c>
      <c r="D161" s="18" t="s">
        <v>1715</v>
      </c>
      <c r="E161" s="28" t="s">
        <v>1700</v>
      </c>
      <c r="F161" s="18"/>
      <c r="G161" s="17" t="n">
        <f aca="false">COUNTIFS(SKUs!$A$5:$A$327,A161,SKUs!$I$5:$I$327,C161,SKUs!$H$5:$H$327,"FR")</f>
        <v>1</v>
      </c>
    </row>
    <row r="162" customFormat="false" ht="15" hidden="false" customHeight="false" outlineLevel="0" collapsed="false">
      <c r="A162" s="17" t="s">
        <v>434</v>
      </c>
      <c r="B162" s="17" t="s">
        <v>1698</v>
      </c>
      <c r="C162" s="27" t="s">
        <v>748</v>
      </c>
      <c r="D162" s="18" t="s">
        <v>1716</v>
      </c>
      <c r="E162" s="28" t="s">
        <v>1700</v>
      </c>
      <c r="F162" s="18"/>
      <c r="G162" s="17" t="n">
        <f aca="false">COUNTIFS(SKUs!$A$5:$A$327,A162,SKUs!$I$5:$I$327,C162,SKUs!$H$5:$H$327,"FR")</f>
        <v>2</v>
      </c>
    </row>
    <row r="163" customFormat="false" ht="15" hidden="false" customHeight="false" outlineLevel="0" collapsed="false">
      <c r="A163" s="17" t="s">
        <v>434</v>
      </c>
      <c r="B163" s="17" t="s">
        <v>1703</v>
      </c>
      <c r="C163" s="27" t="s">
        <v>757</v>
      </c>
      <c r="D163" s="18" t="s">
        <v>756</v>
      </c>
      <c r="E163" s="29" t="s">
        <v>6</v>
      </c>
      <c r="F163" s="18"/>
      <c r="G163" s="17" t="n">
        <f aca="false">COUNTIFS(SKUs!$A$5:$A$327,A163,SKUs!$I$5:$I$327,C163,SKUs!$H$5:$H$327,"AC")</f>
        <v>1</v>
      </c>
    </row>
    <row r="164" customFormat="false" ht="15" hidden="false" customHeight="false" outlineLevel="0" collapsed="false">
      <c r="A164" s="17" t="s">
        <v>434</v>
      </c>
      <c r="B164" s="17" t="s">
        <v>1702</v>
      </c>
      <c r="C164" s="27" t="s">
        <v>762</v>
      </c>
      <c r="D164" s="18" t="s">
        <v>761</v>
      </c>
      <c r="E164" s="29" t="s">
        <v>6</v>
      </c>
      <c r="F164" s="18"/>
      <c r="G164" s="17" t="n">
        <f aca="false">COUNTIFS(SKUs!$A$5:$A$327,A164,SKUs!$I$5:$I$327,C164,SKUs!$H$5:$H$327,"BA")</f>
        <v>1</v>
      </c>
    </row>
    <row r="165" customFormat="false" ht="15" hidden="false" customHeight="false" outlineLevel="0" collapsed="false">
      <c r="A165" s="17" t="s">
        <v>434</v>
      </c>
      <c r="B165" s="17" t="s">
        <v>1702</v>
      </c>
      <c r="C165" s="27" t="s">
        <v>767</v>
      </c>
      <c r="D165" s="18" t="s">
        <v>766</v>
      </c>
      <c r="E165" s="29" t="s">
        <v>6</v>
      </c>
      <c r="F165" s="18"/>
      <c r="G165" s="17" t="n">
        <f aca="false">COUNTIFS(SKUs!$A$5:$A$327,A165,SKUs!$I$5:$I$327,C165,SKUs!$H$5:$H$327,"BA")</f>
        <v>1</v>
      </c>
    </row>
    <row r="166" customFormat="false" ht="15" hidden="false" customHeight="false" outlineLevel="0" collapsed="false">
      <c r="A166" s="17" t="s">
        <v>434</v>
      </c>
      <c r="B166" s="17" t="s">
        <v>1703</v>
      </c>
      <c r="C166" s="27" t="s">
        <v>772</v>
      </c>
      <c r="D166" s="18" t="s">
        <v>771</v>
      </c>
      <c r="E166" s="29" t="s">
        <v>6</v>
      </c>
      <c r="F166" s="18"/>
      <c r="G166" s="17" t="n">
        <f aca="false">COUNTIFS(SKUs!$A$5:$A$327,A166,SKUs!$I$5:$I$327,C166,SKUs!$H$5:$H$327,"AC")</f>
        <v>1</v>
      </c>
    </row>
    <row r="167" customFormat="false" ht="15" hidden="false" customHeight="false" outlineLevel="0" collapsed="false">
      <c r="A167" s="17" t="s">
        <v>434</v>
      </c>
      <c r="B167" s="17" t="s">
        <v>1713</v>
      </c>
      <c r="C167" s="27" t="s">
        <v>777</v>
      </c>
      <c r="D167" s="18" t="s">
        <v>776</v>
      </c>
      <c r="E167" s="29" t="s">
        <v>6</v>
      </c>
      <c r="F167" s="18"/>
      <c r="G167" s="17" t="n">
        <f aca="false">COUNTIFS(SKUs!$A$5:$A$327,A167,SKUs!$I$5:$I$327,C167,SKUs!$H$5:$H$327,"GO")</f>
        <v>1</v>
      </c>
    </row>
    <row r="168" customFormat="false" ht="15" hidden="false" customHeight="false" outlineLevel="0" collapsed="false">
      <c r="A168" s="17" t="s">
        <v>434</v>
      </c>
      <c r="B168" s="17" t="s">
        <v>1705</v>
      </c>
      <c r="C168" s="27" t="s">
        <v>782</v>
      </c>
      <c r="D168" s="18" t="s">
        <v>781</v>
      </c>
      <c r="E168" s="29" t="s">
        <v>6</v>
      </c>
      <c r="F168" s="18"/>
      <c r="G168" s="17" t="n">
        <f aca="false">COUNTIFS(SKUs!$A$5:$A$327,A168,SKUs!$I$5:$I$327,C168,SKUs!$H$5:$H$327,"OV")</f>
        <v>1</v>
      </c>
    </row>
    <row r="169" customFormat="false" ht="15" hidden="false" customHeight="false" outlineLevel="0" collapsed="false">
      <c r="A169" s="17" t="s">
        <v>434</v>
      </c>
      <c r="B169" s="17" t="s">
        <v>1703</v>
      </c>
      <c r="C169" s="27" t="s">
        <v>787</v>
      </c>
      <c r="D169" s="18" t="s">
        <v>786</v>
      </c>
      <c r="E169" s="29" t="s">
        <v>6</v>
      </c>
      <c r="F169" s="18"/>
      <c r="G169" s="17" t="n">
        <f aca="false">COUNTIFS(SKUs!$A$5:$A$327,A169,SKUs!$I$5:$I$327,C169,SKUs!$H$5:$H$327,"AC")</f>
        <v>1</v>
      </c>
    </row>
    <row r="170" customFormat="false" ht="15" hidden="false" customHeight="false" outlineLevel="0" collapsed="false">
      <c r="A170" s="17" t="s">
        <v>434</v>
      </c>
      <c r="B170" s="17" t="s">
        <v>1702</v>
      </c>
      <c r="C170" s="27" t="s">
        <v>792</v>
      </c>
      <c r="D170" s="18" t="s">
        <v>791</v>
      </c>
      <c r="E170" s="29" t="s">
        <v>6</v>
      </c>
      <c r="F170" s="18"/>
      <c r="G170" s="17" t="n">
        <f aca="false">COUNTIFS(SKUs!$A$5:$A$327,A170,SKUs!$I$5:$I$327,C170,SKUs!$H$5:$H$327,"BA")</f>
        <v>1</v>
      </c>
    </row>
    <row r="171" customFormat="false" ht="15" hidden="false" customHeight="false" outlineLevel="0" collapsed="false">
      <c r="A171" s="17" t="s">
        <v>434</v>
      </c>
      <c r="B171" s="17" t="s">
        <v>1703</v>
      </c>
      <c r="C171" s="27" t="s">
        <v>797</v>
      </c>
      <c r="D171" s="18" t="s">
        <v>796</v>
      </c>
      <c r="E171" s="29" t="s">
        <v>6</v>
      </c>
      <c r="F171" s="18"/>
      <c r="G171" s="17" t="n">
        <f aca="false">COUNTIFS(SKUs!$A$5:$A$327,A171,SKUs!$I$5:$I$327,C171,SKUs!$H$5:$H$327,"AC")</f>
        <v>1</v>
      </c>
    </row>
    <row r="172" customFormat="false" ht="15" hidden="false" customHeight="false" outlineLevel="0" collapsed="false">
      <c r="A172" s="17" t="s">
        <v>434</v>
      </c>
      <c r="B172" s="17" t="s">
        <v>1702</v>
      </c>
      <c r="C172" s="27" t="s">
        <v>802</v>
      </c>
      <c r="D172" s="18" t="s">
        <v>801</v>
      </c>
      <c r="E172" s="29" t="s">
        <v>6</v>
      </c>
      <c r="F172" s="18"/>
      <c r="G172" s="17" t="n">
        <f aca="false">COUNTIFS(SKUs!$A$5:$A$327,A172,SKUs!$I$5:$I$327,C172,SKUs!$H$5:$H$327,"BA")</f>
        <v>1</v>
      </c>
    </row>
    <row r="173" customFormat="false" ht="15" hidden="false" customHeight="false" outlineLevel="0" collapsed="false">
      <c r="A173" s="17" t="s">
        <v>434</v>
      </c>
      <c r="B173" s="17" t="s">
        <v>1704</v>
      </c>
      <c r="C173" s="27" t="s">
        <v>807</v>
      </c>
      <c r="D173" s="18" t="s">
        <v>806</v>
      </c>
      <c r="E173" s="29" t="s">
        <v>6</v>
      </c>
      <c r="F173" s="18"/>
      <c r="G173" s="17" t="n">
        <f aca="false">COUNTIFS(SKUs!$A$5:$A$327,A173,SKUs!$I$5:$I$327,C173,SKUs!$H$5:$H$327,"AD")</f>
        <v>1</v>
      </c>
    </row>
    <row r="174" customFormat="false" ht="15" hidden="false" customHeight="false" outlineLevel="0" collapsed="false">
      <c r="A174" s="17" t="s">
        <v>434</v>
      </c>
      <c r="B174" s="17" t="s">
        <v>1698</v>
      </c>
      <c r="C174" s="27" t="s">
        <v>812</v>
      </c>
      <c r="D174" s="18" t="s">
        <v>1717</v>
      </c>
      <c r="E174" s="28" t="s">
        <v>1700</v>
      </c>
      <c r="F174" s="18"/>
      <c r="G174" s="17" t="n">
        <f aca="false">COUNTIFS(SKUs!$A$5:$A$327,A174,SKUs!$I$5:$I$327,C174,SKUs!$H$5:$H$327,"FR")</f>
        <v>3</v>
      </c>
    </row>
    <row r="175" customFormat="false" ht="15" hidden="false" customHeight="false" outlineLevel="0" collapsed="false">
      <c r="A175" s="17" t="s">
        <v>434</v>
      </c>
      <c r="B175" s="17" t="s">
        <v>1704</v>
      </c>
      <c r="C175" s="27" t="s">
        <v>821</v>
      </c>
      <c r="D175" s="18" t="s">
        <v>820</v>
      </c>
      <c r="E175" s="29" t="s">
        <v>6</v>
      </c>
      <c r="F175" s="18"/>
      <c r="G175" s="17" t="n">
        <f aca="false">COUNTIFS(SKUs!$A$5:$A$327,A175,SKUs!$I$5:$I$327,C175,SKUs!$H$5:$H$327,"AD")</f>
        <v>1</v>
      </c>
    </row>
    <row r="176" customFormat="false" ht="15" hidden="false" customHeight="false" outlineLevel="0" collapsed="false">
      <c r="A176" s="17" t="s">
        <v>434</v>
      </c>
      <c r="B176" s="17" t="s">
        <v>1704</v>
      </c>
      <c r="C176" s="27" t="s">
        <v>826</v>
      </c>
      <c r="D176" s="18" t="s">
        <v>825</v>
      </c>
      <c r="E176" s="29" t="s">
        <v>6</v>
      </c>
      <c r="F176" s="18"/>
      <c r="G176" s="17" t="n">
        <f aca="false">COUNTIFS(SKUs!$A$5:$A$327,A176,SKUs!$I$5:$I$327,C176,SKUs!$H$5:$H$327,"AD")</f>
        <v>1</v>
      </c>
    </row>
    <row r="177" customFormat="false" ht="15" hidden="false" customHeight="false" outlineLevel="0" collapsed="false">
      <c r="A177" s="17" t="s">
        <v>434</v>
      </c>
      <c r="B177" s="17" t="s">
        <v>1703</v>
      </c>
      <c r="C177" s="27" t="s">
        <v>831</v>
      </c>
      <c r="D177" s="18" t="s">
        <v>830</v>
      </c>
      <c r="E177" s="29" t="s">
        <v>6</v>
      </c>
      <c r="F177" s="18"/>
      <c r="G177" s="17" t="n">
        <f aca="false">COUNTIFS(SKUs!$A$5:$A$327,A177,SKUs!$I$5:$I$327,C177,SKUs!$H$5:$H$327,"AC")</f>
        <v>1</v>
      </c>
    </row>
    <row r="178" customFormat="false" ht="15" hidden="false" customHeight="false" outlineLevel="0" collapsed="false">
      <c r="A178" s="17" t="s">
        <v>434</v>
      </c>
      <c r="B178" s="17" t="s">
        <v>1703</v>
      </c>
      <c r="C178" s="27" t="s">
        <v>840</v>
      </c>
      <c r="D178" s="18" t="s">
        <v>839</v>
      </c>
      <c r="E178" s="29" t="s">
        <v>6</v>
      </c>
      <c r="F178" s="18"/>
      <c r="G178" s="17" t="n">
        <f aca="false">COUNTIFS(SKUs!$A$5:$A$327,A178,SKUs!$I$5:$I$327,C178,SKUs!$H$5:$H$327,"AC")</f>
        <v>1</v>
      </c>
    </row>
    <row r="179" customFormat="false" ht="15" hidden="false" customHeight="false" outlineLevel="0" collapsed="false">
      <c r="A179" s="17" t="s">
        <v>434</v>
      </c>
      <c r="B179" s="17" t="s">
        <v>1703</v>
      </c>
      <c r="C179" s="27" t="s">
        <v>845</v>
      </c>
      <c r="D179" s="18" t="s">
        <v>844</v>
      </c>
      <c r="E179" s="29" t="s">
        <v>6</v>
      </c>
      <c r="F179" s="18"/>
      <c r="G179" s="17" t="n">
        <f aca="false">COUNTIFS(SKUs!$A$5:$A$327,A179,SKUs!$I$5:$I$327,C179,SKUs!$H$5:$H$327,"AC")</f>
        <v>1</v>
      </c>
    </row>
    <row r="180" customFormat="false" ht="15" hidden="false" customHeight="false" outlineLevel="0" collapsed="false">
      <c r="A180" s="17" t="s">
        <v>434</v>
      </c>
      <c r="B180" s="17" t="s">
        <v>1703</v>
      </c>
      <c r="C180" s="27" t="s">
        <v>850</v>
      </c>
      <c r="D180" s="18" t="s">
        <v>849</v>
      </c>
      <c r="E180" s="29" t="s">
        <v>6</v>
      </c>
      <c r="F180" s="18"/>
      <c r="G180" s="17" t="n">
        <f aca="false">COUNTIFS(SKUs!$A$5:$A$327,A180,SKUs!$I$5:$I$327,C180,SKUs!$H$5:$H$327,"AC")</f>
        <v>1</v>
      </c>
    </row>
    <row r="181" customFormat="false" ht="15" hidden="false" customHeight="false" outlineLevel="0" collapsed="false">
      <c r="A181" s="17" t="s">
        <v>434</v>
      </c>
      <c r="B181" s="17" t="s">
        <v>1702</v>
      </c>
      <c r="C181" s="27" t="s">
        <v>855</v>
      </c>
      <c r="D181" s="18" t="s">
        <v>854</v>
      </c>
      <c r="E181" s="29" t="s">
        <v>6</v>
      </c>
      <c r="F181" s="18"/>
      <c r="G181" s="17" t="n">
        <f aca="false">COUNTIFS(SKUs!$A$5:$A$327,A181,SKUs!$I$5:$I$327,C181,SKUs!$H$5:$H$327,"BA")</f>
        <v>1</v>
      </c>
    </row>
    <row r="182" customFormat="false" ht="15" hidden="false" customHeight="false" outlineLevel="0" collapsed="false">
      <c r="A182" s="17" t="s">
        <v>434</v>
      </c>
      <c r="B182" s="17" t="s">
        <v>1702</v>
      </c>
      <c r="C182" s="27" t="s">
        <v>860</v>
      </c>
      <c r="D182" s="18" t="s">
        <v>859</v>
      </c>
      <c r="E182" s="29" t="s">
        <v>6</v>
      </c>
      <c r="F182" s="18"/>
      <c r="G182" s="17" t="n">
        <f aca="false">COUNTIFS(SKUs!$A$5:$A$327,A182,SKUs!$I$5:$I$327,C182,SKUs!$H$5:$H$327,"BA")</f>
        <v>1</v>
      </c>
    </row>
    <row r="183" customFormat="false" ht="15" hidden="false" customHeight="false" outlineLevel="0" collapsed="false">
      <c r="A183" s="17" t="s">
        <v>434</v>
      </c>
      <c r="B183" s="17" t="s">
        <v>1703</v>
      </c>
      <c r="C183" s="27" t="s">
        <v>865</v>
      </c>
      <c r="D183" s="18" t="s">
        <v>864</v>
      </c>
      <c r="E183" s="29" t="s">
        <v>6</v>
      </c>
      <c r="F183" s="18"/>
      <c r="G183" s="17" t="n">
        <f aca="false">COUNTIFS(SKUs!$A$5:$A$327,A183,SKUs!$I$5:$I$327,C183,SKUs!$H$5:$H$327,"AC")</f>
        <v>1</v>
      </c>
    </row>
    <row r="184" customFormat="false" ht="15" hidden="false" customHeight="false" outlineLevel="0" collapsed="false">
      <c r="A184" s="17" t="s">
        <v>434</v>
      </c>
      <c r="B184" s="17" t="s">
        <v>1702</v>
      </c>
      <c r="C184" s="27" t="s">
        <v>870</v>
      </c>
      <c r="D184" s="18" t="s">
        <v>869</v>
      </c>
      <c r="E184" s="29" t="s">
        <v>6</v>
      </c>
      <c r="F184" s="18"/>
      <c r="G184" s="17" t="n">
        <f aca="false">COUNTIFS(SKUs!$A$5:$A$327,A184,SKUs!$I$5:$I$327,C184,SKUs!$H$5:$H$327,"BA")</f>
        <v>1</v>
      </c>
    </row>
    <row r="185" customFormat="false" ht="15" hidden="false" customHeight="false" outlineLevel="0" collapsed="false">
      <c r="A185" s="17" t="s">
        <v>434</v>
      </c>
      <c r="B185" s="17" t="s">
        <v>1702</v>
      </c>
      <c r="C185" s="27" t="s">
        <v>875</v>
      </c>
      <c r="D185" s="18" t="s">
        <v>874</v>
      </c>
      <c r="E185" s="29" t="s">
        <v>6</v>
      </c>
      <c r="F185" s="18"/>
      <c r="G185" s="17" t="n">
        <f aca="false">COUNTIFS(SKUs!$A$5:$A$327,A185,SKUs!$I$5:$I$327,C185,SKUs!$H$5:$H$327,"BA")</f>
        <v>1</v>
      </c>
    </row>
    <row r="186" customFormat="false" ht="15" hidden="false" customHeight="false" outlineLevel="0" collapsed="false">
      <c r="A186" s="17" t="s">
        <v>434</v>
      </c>
      <c r="B186" s="17" t="s">
        <v>1703</v>
      </c>
      <c r="C186" s="27" t="s">
        <v>880</v>
      </c>
      <c r="D186" s="18" t="s">
        <v>879</v>
      </c>
      <c r="E186" s="29" t="s">
        <v>6</v>
      </c>
      <c r="F186" s="18"/>
      <c r="G186" s="17" t="n">
        <f aca="false">COUNTIFS(SKUs!$A$5:$A$327,A186,SKUs!$I$5:$I$327,C186,SKUs!$H$5:$H$327,"AC")</f>
        <v>1</v>
      </c>
    </row>
    <row r="187" customFormat="false" ht="15" hidden="false" customHeight="false" outlineLevel="0" collapsed="false">
      <c r="A187" s="17" t="s">
        <v>434</v>
      </c>
      <c r="B187" s="17" t="s">
        <v>1703</v>
      </c>
      <c r="C187" s="27" t="s">
        <v>888</v>
      </c>
      <c r="D187" s="18" t="s">
        <v>887</v>
      </c>
      <c r="E187" s="29" t="s">
        <v>6</v>
      </c>
      <c r="F187" s="18"/>
      <c r="G187" s="17" t="n">
        <f aca="false">COUNTIFS(SKUs!$A$5:$A$327,A187,SKUs!$I$5:$I$327,C187,SKUs!$H$5:$H$327,"AC")</f>
        <v>1</v>
      </c>
    </row>
    <row r="188" customFormat="false" ht="15" hidden="false" customHeight="false" outlineLevel="0" collapsed="false">
      <c r="A188" s="17" t="s">
        <v>434</v>
      </c>
      <c r="B188" s="17" t="s">
        <v>1703</v>
      </c>
      <c r="C188" s="27" t="s">
        <v>241</v>
      </c>
      <c r="D188" s="18" t="s">
        <v>892</v>
      </c>
      <c r="E188" s="28" t="s">
        <v>1541</v>
      </c>
      <c r="F188" s="18"/>
      <c r="G188" s="17" t="n">
        <f aca="false">COUNTIFS(SKUs!$A$5:$A$327,A188,SKUs!$I$5:$I$327,C188,SKUs!$H$5:$H$327,"AC")</f>
        <v>1</v>
      </c>
    </row>
    <row r="189" customFormat="false" ht="15" hidden="false" customHeight="false" outlineLevel="0" collapsed="false">
      <c r="A189" s="17" t="s">
        <v>434</v>
      </c>
      <c r="B189" s="17" t="s">
        <v>1703</v>
      </c>
      <c r="C189" s="27" t="s">
        <v>897</v>
      </c>
      <c r="D189" s="18" t="s">
        <v>896</v>
      </c>
      <c r="E189" s="29" t="s">
        <v>6</v>
      </c>
      <c r="F189" s="18"/>
      <c r="G189" s="17" t="n">
        <f aca="false">COUNTIFS(SKUs!$A$5:$A$327,A189,SKUs!$I$5:$I$327,C189,SKUs!$H$5:$H$327,"AC")</f>
        <v>1</v>
      </c>
    </row>
    <row r="190" customFormat="false" ht="15" hidden="false" customHeight="false" outlineLevel="0" collapsed="false">
      <c r="A190" s="17" t="s">
        <v>434</v>
      </c>
      <c r="B190" s="17" t="s">
        <v>1703</v>
      </c>
      <c r="C190" s="27" t="s">
        <v>902</v>
      </c>
      <c r="D190" s="18" t="s">
        <v>901</v>
      </c>
      <c r="E190" s="29" t="s">
        <v>6</v>
      </c>
      <c r="F190" s="18"/>
      <c r="G190" s="17" t="n">
        <f aca="false">COUNTIFS(SKUs!$A$5:$A$327,A190,SKUs!$I$5:$I$327,C190,SKUs!$H$5:$H$327,"AC")</f>
        <v>1</v>
      </c>
    </row>
    <row r="191" customFormat="false" ht="15" hidden="false" customHeight="false" outlineLevel="0" collapsed="false">
      <c r="A191" s="17" t="s">
        <v>434</v>
      </c>
      <c r="B191" s="17" t="s">
        <v>1698</v>
      </c>
      <c r="C191" s="27" t="s">
        <v>205</v>
      </c>
      <c r="D191" s="18" t="s">
        <v>1718</v>
      </c>
      <c r="E191" s="28" t="s">
        <v>1700</v>
      </c>
      <c r="F191" s="18"/>
      <c r="G191" s="17" t="n">
        <f aca="false">COUNTIFS(SKUs!$A$5:$A$327,A191,SKUs!$I$5:$I$327,C191,SKUs!$H$5:$H$327,"FR")</f>
        <v>1</v>
      </c>
    </row>
    <row r="192" customFormat="false" ht="15" hidden="false" customHeight="false" outlineLevel="0" collapsed="false">
      <c r="A192" s="17" t="s">
        <v>434</v>
      </c>
      <c r="B192" s="17" t="s">
        <v>1702</v>
      </c>
      <c r="C192" s="27" t="s">
        <v>911</v>
      </c>
      <c r="D192" s="18" t="s">
        <v>910</v>
      </c>
      <c r="E192" s="29" t="s">
        <v>6</v>
      </c>
      <c r="F192" s="18"/>
      <c r="G192" s="17" t="n">
        <f aca="false">COUNTIFS(SKUs!$A$5:$A$327,A192,SKUs!$I$5:$I$327,C192,SKUs!$H$5:$H$327,"BA")</f>
        <v>1</v>
      </c>
    </row>
    <row r="193" customFormat="false" ht="15" hidden="false" customHeight="false" outlineLevel="0" collapsed="false">
      <c r="A193" s="17" t="s">
        <v>434</v>
      </c>
      <c r="B193" s="17" t="s">
        <v>1703</v>
      </c>
      <c r="C193" s="27" t="s">
        <v>916</v>
      </c>
      <c r="D193" s="18" t="s">
        <v>915</v>
      </c>
      <c r="E193" s="29" t="s">
        <v>6</v>
      </c>
      <c r="F193" s="18"/>
      <c r="G193" s="17" t="n">
        <f aca="false">COUNTIFS(SKUs!$A$5:$A$327,A193,SKUs!$I$5:$I$327,C193,SKUs!$H$5:$H$327,"AC")</f>
        <v>1</v>
      </c>
    </row>
    <row r="194" customFormat="false" ht="15" hidden="false" customHeight="false" outlineLevel="0" collapsed="false">
      <c r="A194" s="17" t="s">
        <v>434</v>
      </c>
      <c r="B194" s="17" t="s">
        <v>1703</v>
      </c>
      <c r="C194" s="27" t="s">
        <v>921</v>
      </c>
      <c r="D194" s="18" t="s">
        <v>920</v>
      </c>
      <c r="E194" s="29" t="s">
        <v>6</v>
      </c>
      <c r="F194" s="18"/>
      <c r="G194" s="17" t="n">
        <f aca="false">COUNTIFS(SKUs!$A$5:$A$327,A194,SKUs!$I$5:$I$327,C194,SKUs!$H$5:$H$327,"AC")</f>
        <v>1</v>
      </c>
    </row>
    <row r="195" customFormat="false" ht="15" hidden="false" customHeight="false" outlineLevel="0" collapsed="false">
      <c r="A195" s="17" t="s">
        <v>434</v>
      </c>
      <c r="B195" s="17" t="s">
        <v>1703</v>
      </c>
      <c r="C195" s="27" t="s">
        <v>926</v>
      </c>
      <c r="D195" s="18" t="s">
        <v>925</v>
      </c>
      <c r="E195" s="29" t="s">
        <v>6</v>
      </c>
      <c r="F195" s="18"/>
      <c r="G195" s="17" t="n">
        <f aca="false">COUNTIFS(SKUs!$A$5:$A$327,A195,SKUs!$I$5:$I$327,C195,SKUs!$H$5:$H$327,"AC")</f>
        <v>1</v>
      </c>
    </row>
    <row r="196" customFormat="false" ht="15" hidden="false" customHeight="false" outlineLevel="0" collapsed="false">
      <c r="A196" s="17" t="s">
        <v>434</v>
      </c>
      <c r="B196" s="17" t="s">
        <v>1703</v>
      </c>
      <c r="C196" s="27" t="s">
        <v>931</v>
      </c>
      <c r="D196" s="18" t="s">
        <v>930</v>
      </c>
      <c r="E196" s="29" t="s">
        <v>6</v>
      </c>
      <c r="F196" s="18"/>
      <c r="G196" s="17" t="n">
        <f aca="false">COUNTIFS(SKUs!$A$5:$A$327,A196,SKUs!$I$5:$I$327,C196,SKUs!$H$5:$H$327,"AC")</f>
        <v>1</v>
      </c>
    </row>
    <row r="197" customFormat="false" ht="15" hidden="false" customHeight="false" outlineLevel="0" collapsed="false">
      <c r="A197" s="17" t="s">
        <v>434</v>
      </c>
      <c r="B197" s="17" t="s">
        <v>1704</v>
      </c>
      <c r="C197" s="27" t="s">
        <v>936</v>
      </c>
      <c r="D197" s="18" t="s">
        <v>935</v>
      </c>
      <c r="E197" s="29" t="s">
        <v>6</v>
      </c>
      <c r="F197" s="18"/>
      <c r="G197" s="17" t="n">
        <f aca="false">COUNTIFS(SKUs!$A$5:$A$327,A197,SKUs!$I$5:$I$327,C197,SKUs!$H$5:$H$327,"AD")</f>
        <v>1</v>
      </c>
    </row>
    <row r="198" customFormat="false" ht="15" hidden="false" customHeight="false" outlineLevel="0" collapsed="false">
      <c r="A198" s="17" t="s">
        <v>434</v>
      </c>
      <c r="B198" s="17" t="s">
        <v>1703</v>
      </c>
      <c r="C198" s="27" t="s">
        <v>941</v>
      </c>
      <c r="D198" s="18" t="s">
        <v>940</v>
      </c>
      <c r="E198" s="29" t="s">
        <v>6</v>
      </c>
      <c r="F198" s="18"/>
      <c r="G198" s="17" t="n">
        <f aca="false">COUNTIFS(SKUs!$A$5:$A$327,A198,SKUs!$I$5:$I$327,C198,SKUs!$H$5:$H$327,"AC")</f>
        <v>1</v>
      </c>
    </row>
    <row r="199" customFormat="false" ht="15" hidden="false" customHeight="false" outlineLevel="0" collapsed="false">
      <c r="A199" s="17" t="s">
        <v>434</v>
      </c>
      <c r="B199" s="17" t="s">
        <v>1703</v>
      </c>
      <c r="C199" s="27" t="s">
        <v>946</v>
      </c>
      <c r="D199" s="18" t="s">
        <v>945</v>
      </c>
      <c r="E199" s="29" t="s">
        <v>6</v>
      </c>
      <c r="F199" s="18"/>
      <c r="G199" s="17" t="n">
        <f aca="false">COUNTIFS(SKUs!$A$5:$A$327,A199,SKUs!$I$5:$I$327,C199,SKUs!$H$5:$H$327,"AC")</f>
        <v>1</v>
      </c>
    </row>
    <row r="200" customFormat="false" ht="15" hidden="false" customHeight="false" outlineLevel="0" collapsed="false">
      <c r="A200" s="17" t="s">
        <v>434</v>
      </c>
      <c r="B200" s="17" t="s">
        <v>1702</v>
      </c>
      <c r="C200" s="27" t="s">
        <v>951</v>
      </c>
      <c r="D200" s="18" t="s">
        <v>950</v>
      </c>
      <c r="E200" s="29" t="s">
        <v>6</v>
      </c>
      <c r="F200" s="18"/>
      <c r="G200" s="17" t="n">
        <f aca="false">COUNTIFS(SKUs!$A$5:$A$327,A200,SKUs!$I$5:$I$327,C200,SKUs!$H$5:$H$327,"BA")</f>
        <v>1</v>
      </c>
    </row>
    <row r="201" customFormat="false" ht="15" hidden="false" customHeight="false" outlineLevel="0" collapsed="false">
      <c r="A201" s="17" t="s">
        <v>434</v>
      </c>
      <c r="B201" s="17" t="s">
        <v>1703</v>
      </c>
      <c r="C201" s="27" t="s">
        <v>960</v>
      </c>
      <c r="D201" s="18" t="s">
        <v>959</v>
      </c>
      <c r="E201" s="29" t="s">
        <v>6</v>
      </c>
      <c r="F201" s="18"/>
      <c r="G201" s="17" t="n">
        <f aca="false">COUNTIFS(SKUs!$A$5:$A$327,A201,SKUs!$I$5:$I$327,C201,SKUs!$H$5:$H$327,"AC")</f>
        <v>1</v>
      </c>
    </row>
    <row r="202" customFormat="false" ht="15" hidden="false" customHeight="false" outlineLevel="0" collapsed="false">
      <c r="A202" s="17" t="s">
        <v>434</v>
      </c>
      <c r="B202" s="17" t="s">
        <v>1703</v>
      </c>
      <c r="C202" s="27" t="s">
        <v>965</v>
      </c>
      <c r="D202" s="18" t="s">
        <v>964</v>
      </c>
      <c r="E202" s="29" t="s">
        <v>6</v>
      </c>
      <c r="F202" s="18"/>
      <c r="G202" s="17" t="n">
        <f aca="false">COUNTIFS(SKUs!$A$5:$A$327,A202,SKUs!$I$5:$I$327,C202,SKUs!$H$5:$H$327,"AC")</f>
        <v>1</v>
      </c>
    </row>
    <row r="203" customFormat="false" ht="15" hidden="false" customHeight="false" outlineLevel="0" collapsed="false">
      <c r="A203" s="17" t="s">
        <v>434</v>
      </c>
      <c r="B203" s="17" t="s">
        <v>1703</v>
      </c>
      <c r="C203" s="27" t="s">
        <v>970</v>
      </c>
      <c r="D203" s="18" t="s">
        <v>969</v>
      </c>
      <c r="E203" s="29" t="s">
        <v>6</v>
      </c>
      <c r="F203" s="18"/>
      <c r="G203" s="17" t="n">
        <f aca="false">COUNTIFS(SKUs!$A$5:$A$327,A203,SKUs!$I$5:$I$327,C203,SKUs!$H$5:$H$327,"AC")</f>
        <v>1</v>
      </c>
    </row>
    <row r="204" customFormat="false" ht="15" hidden="false" customHeight="false" outlineLevel="0" collapsed="false">
      <c r="A204" s="17" t="s">
        <v>434</v>
      </c>
      <c r="B204" s="17" t="s">
        <v>1703</v>
      </c>
      <c r="C204" s="27" t="s">
        <v>975</v>
      </c>
      <c r="D204" s="18" t="s">
        <v>974</v>
      </c>
      <c r="E204" s="29" t="s">
        <v>6</v>
      </c>
      <c r="F204" s="18"/>
      <c r="G204" s="17" t="n">
        <f aca="false">COUNTIFS(SKUs!$A$5:$A$327,A204,SKUs!$I$5:$I$327,C204,SKUs!$H$5:$H$327,"AC")</f>
        <v>1</v>
      </c>
    </row>
    <row r="205" customFormat="false" ht="15" hidden="false" customHeight="false" outlineLevel="0" collapsed="false">
      <c r="A205" s="17" t="s">
        <v>434</v>
      </c>
      <c r="B205" s="17" t="s">
        <v>1703</v>
      </c>
      <c r="C205" s="27" t="s">
        <v>980</v>
      </c>
      <c r="D205" s="18" t="s">
        <v>979</v>
      </c>
      <c r="E205" s="29" t="s">
        <v>6</v>
      </c>
      <c r="F205" s="18"/>
      <c r="G205" s="17" t="n">
        <f aca="false">COUNTIFS(SKUs!$A$5:$A$327,A205,SKUs!$I$5:$I$327,C205,SKUs!$H$5:$H$327,"AC")</f>
        <v>1</v>
      </c>
    </row>
    <row r="206" customFormat="false" ht="15" hidden="false" customHeight="false" outlineLevel="0" collapsed="false">
      <c r="A206" s="17" t="s">
        <v>434</v>
      </c>
      <c r="B206" s="17" t="s">
        <v>1703</v>
      </c>
      <c r="C206" s="27" t="s">
        <v>985</v>
      </c>
      <c r="D206" s="18" t="s">
        <v>984</v>
      </c>
      <c r="E206" s="29" t="s">
        <v>6</v>
      </c>
      <c r="F206" s="18"/>
      <c r="G206" s="17" t="n">
        <f aca="false">COUNTIFS(SKUs!$A$5:$A$327,A206,SKUs!$I$5:$I$327,C206,SKUs!$H$5:$H$327,"AC")</f>
        <v>1</v>
      </c>
    </row>
    <row r="207" customFormat="false" ht="15" hidden="false" customHeight="false" outlineLevel="0" collapsed="false">
      <c r="A207" s="17" t="s">
        <v>434</v>
      </c>
      <c r="B207" s="17" t="s">
        <v>1703</v>
      </c>
      <c r="C207" s="27" t="s">
        <v>990</v>
      </c>
      <c r="D207" s="18" t="s">
        <v>989</v>
      </c>
      <c r="E207" s="29" t="s">
        <v>6</v>
      </c>
      <c r="F207" s="18"/>
      <c r="G207" s="17" t="n">
        <f aca="false">COUNTIFS(SKUs!$A$5:$A$327,A207,SKUs!$I$5:$I$327,C207,SKUs!$H$5:$H$327,"AC")</f>
        <v>1</v>
      </c>
    </row>
    <row r="208" customFormat="false" ht="15" hidden="false" customHeight="false" outlineLevel="0" collapsed="false">
      <c r="A208" s="17" t="s">
        <v>434</v>
      </c>
      <c r="B208" s="17" t="s">
        <v>1703</v>
      </c>
      <c r="C208" s="27" t="s">
        <v>995</v>
      </c>
      <c r="D208" s="18" t="s">
        <v>994</v>
      </c>
      <c r="E208" s="29" t="s">
        <v>6</v>
      </c>
      <c r="F208" s="18"/>
      <c r="G208" s="17" t="n">
        <f aca="false">COUNTIFS(SKUs!$A$5:$A$327,A208,SKUs!$I$5:$I$327,C208,SKUs!$H$5:$H$327,"AC")</f>
        <v>1</v>
      </c>
    </row>
    <row r="209" customFormat="false" ht="15" hidden="false" customHeight="false" outlineLevel="0" collapsed="false">
      <c r="A209" s="17" t="s">
        <v>434</v>
      </c>
      <c r="B209" s="17" t="s">
        <v>1703</v>
      </c>
      <c r="C209" s="27" t="s">
        <v>1000</v>
      </c>
      <c r="D209" s="18" t="s">
        <v>999</v>
      </c>
      <c r="E209" s="29" t="s">
        <v>6</v>
      </c>
      <c r="F209" s="18"/>
      <c r="G209" s="17" t="n">
        <f aca="false">COUNTIFS(SKUs!$A$5:$A$327,A209,SKUs!$I$5:$I$327,C209,SKUs!$H$5:$H$327,"AC")</f>
        <v>1</v>
      </c>
    </row>
    <row r="210" customFormat="false" ht="15" hidden="false" customHeight="false" outlineLevel="0" collapsed="false">
      <c r="A210" s="17" t="s">
        <v>434</v>
      </c>
      <c r="B210" s="17" t="s">
        <v>1703</v>
      </c>
      <c r="C210" s="27" t="s">
        <v>1005</v>
      </c>
      <c r="D210" s="18" t="s">
        <v>1004</v>
      </c>
      <c r="E210" s="29" t="s">
        <v>6</v>
      </c>
      <c r="F210" s="18"/>
      <c r="G210" s="17" t="n">
        <f aca="false">COUNTIFS(SKUs!$A$5:$A$327,A210,SKUs!$I$5:$I$327,C210,SKUs!$H$5:$H$327,"AC")</f>
        <v>1</v>
      </c>
    </row>
    <row r="211" customFormat="false" ht="15" hidden="false" customHeight="false" outlineLevel="0" collapsed="false">
      <c r="A211" s="17" t="s">
        <v>434</v>
      </c>
      <c r="B211" s="17" t="s">
        <v>1704</v>
      </c>
      <c r="C211" s="27" t="s">
        <v>1010</v>
      </c>
      <c r="D211" s="18" t="s">
        <v>1009</v>
      </c>
      <c r="E211" s="29" t="s">
        <v>6</v>
      </c>
      <c r="F211" s="18"/>
      <c r="G211" s="17" t="n">
        <f aca="false">COUNTIFS(SKUs!$A$5:$A$327,A211,SKUs!$I$5:$I$327,C211,SKUs!$H$5:$H$327,"AD")</f>
        <v>1</v>
      </c>
    </row>
    <row r="212" customFormat="false" ht="15" hidden="false" customHeight="false" outlineLevel="0" collapsed="false">
      <c r="A212" s="17" t="s">
        <v>434</v>
      </c>
      <c r="B212" s="17" t="s">
        <v>1703</v>
      </c>
      <c r="C212" s="27" t="s">
        <v>1015</v>
      </c>
      <c r="D212" s="18" t="s">
        <v>1014</v>
      </c>
      <c r="E212" s="29" t="s">
        <v>6</v>
      </c>
      <c r="F212" s="18"/>
      <c r="G212" s="17" t="n">
        <f aca="false">COUNTIFS(SKUs!$A$5:$A$327,A212,SKUs!$I$5:$I$327,C212,SKUs!$H$5:$H$327,"AC")</f>
        <v>1</v>
      </c>
    </row>
    <row r="213" customFormat="false" ht="15" hidden="false" customHeight="false" outlineLevel="0" collapsed="false">
      <c r="A213" s="17" t="s">
        <v>434</v>
      </c>
      <c r="B213" s="17" t="s">
        <v>1698</v>
      </c>
      <c r="C213" s="27" t="s">
        <v>1020</v>
      </c>
      <c r="D213" s="18" t="s">
        <v>1019</v>
      </c>
      <c r="E213" s="29" t="s">
        <v>6</v>
      </c>
      <c r="F213" s="18"/>
      <c r="G213" s="17" t="n">
        <f aca="false">COUNTIFS(SKUs!$A$5:$A$327,A213,SKUs!$I$5:$I$327,C213,SKUs!$H$5:$H$327,"FR")</f>
        <v>1</v>
      </c>
    </row>
    <row r="214" customFormat="false" ht="15" hidden="false" customHeight="false" outlineLevel="0" collapsed="false">
      <c r="A214" s="17" t="s">
        <v>434</v>
      </c>
      <c r="B214" s="17" t="s">
        <v>1703</v>
      </c>
      <c r="C214" s="27" t="s">
        <v>1025</v>
      </c>
      <c r="D214" s="18" t="s">
        <v>1024</v>
      </c>
      <c r="E214" s="29" t="s">
        <v>6</v>
      </c>
      <c r="F214" s="18"/>
      <c r="G214" s="17" t="n">
        <f aca="false">COUNTIFS(SKUs!$A$5:$A$327,A214,SKUs!$I$5:$I$327,C214,SKUs!$H$5:$H$327,"AC")</f>
        <v>1</v>
      </c>
    </row>
    <row r="215" customFormat="false" ht="15" hidden="false" customHeight="false" outlineLevel="0" collapsed="false">
      <c r="A215" s="17" t="s">
        <v>434</v>
      </c>
      <c r="B215" s="17" t="s">
        <v>1703</v>
      </c>
      <c r="C215" s="27" t="s">
        <v>1030</v>
      </c>
      <c r="D215" s="18" t="s">
        <v>1029</v>
      </c>
      <c r="E215" s="29" t="s">
        <v>6</v>
      </c>
      <c r="F215" s="18"/>
      <c r="G215" s="17" t="n">
        <f aca="false">COUNTIFS(SKUs!$A$5:$A$327,A215,SKUs!$I$5:$I$327,C215,SKUs!$H$5:$H$327,"AC")</f>
        <v>1</v>
      </c>
    </row>
    <row r="216" customFormat="false" ht="15" hidden="false" customHeight="false" outlineLevel="0" collapsed="false">
      <c r="A216" s="17" t="s">
        <v>434</v>
      </c>
      <c r="B216" s="17" t="s">
        <v>1703</v>
      </c>
      <c r="C216" s="27" t="s">
        <v>1035</v>
      </c>
      <c r="D216" s="18" t="s">
        <v>1034</v>
      </c>
      <c r="E216" s="29" t="s">
        <v>6</v>
      </c>
      <c r="F216" s="18"/>
      <c r="G216" s="17" t="n">
        <f aca="false">COUNTIFS(SKUs!$A$5:$A$327,A216,SKUs!$I$5:$I$327,C216,SKUs!$H$5:$H$327,"AC")</f>
        <v>1</v>
      </c>
    </row>
    <row r="217" customFormat="false" ht="15" hidden="false" customHeight="false" outlineLevel="0" collapsed="false">
      <c r="A217" s="17" t="s">
        <v>434</v>
      </c>
      <c r="B217" s="17" t="s">
        <v>1703</v>
      </c>
      <c r="C217" s="27" t="s">
        <v>1040</v>
      </c>
      <c r="D217" s="18" t="s">
        <v>1039</v>
      </c>
      <c r="E217" s="29" t="s">
        <v>6</v>
      </c>
      <c r="F217" s="18"/>
      <c r="G217" s="17" t="n">
        <f aca="false">COUNTIFS(SKUs!$A$5:$A$327,A217,SKUs!$I$5:$I$327,C217,SKUs!$H$5:$H$327,"AC")</f>
        <v>1</v>
      </c>
    </row>
    <row r="218" customFormat="false" ht="15" hidden="false" customHeight="false" outlineLevel="0" collapsed="false">
      <c r="A218" s="17" t="s">
        <v>434</v>
      </c>
      <c r="B218" s="17" t="s">
        <v>1702</v>
      </c>
      <c r="C218" s="27" t="s">
        <v>1045</v>
      </c>
      <c r="D218" s="18" t="s">
        <v>1044</v>
      </c>
      <c r="E218" s="29" t="s">
        <v>6</v>
      </c>
      <c r="F218" s="18"/>
      <c r="G218" s="17" t="n">
        <f aca="false">COUNTIFS(SKUs!$A$5:$A$327,A218,SKUs!$I$5:$I$327,C218,SKUs!$H$5:$H$327,"BA")</f>
        <v>1</v>
      </c>
    </row>
    <row r="219" customFormat="false" ht="15" hidden="false" customHeight="false" outlineLevel="0" collapsed="false">
      <c r="A219" s="17" t="s">
        <v>434</v>
      </c>
      <c r="B219" s="17" t="s">
        <v>1703</v>
      </c>
      <c r="C219" s="27" t="s">
        <v>1050</v>
      </c>
      <c r="D219" s="18" t="s">
        <v>1049</v>
      </c>
      <c r="E219" s="29" t="s">
        <v>6</v>
      </c>
      <c r="F219" s="18"/>
      <c r="G219" s="17" t="n">
        <f aca="false">COUNTIFS(SKUs!$A$5:$A$327,A219,SKUs!$I$5:$I$327,C219,SKUs!$H$5:$H$327,"AC")</f>
        <v>1</v>
      </c>
    </row>
    <row r="220" customFormat="false" ht="15" hidden="false" customHeight="false" outlineLevel="0" collapsed="false">
      <c r="A220" s="17" t="s">
        <v>434</v>
      </c>
      <c r="B220" s="17" t="s">
        <v>1703</v>
      </c>
      <c r="C220" s="27" t="s">
        <v>1055</v>
      </c>
      <c r="D220" s="18" t="s">
        <v>1054</v>
      </c>
      <c r="E220" s="29" t="s">
        <v>6</v>
      </c>
      <c r="F220" s="18"/>
      <c r="G220" s="17" t="n">
        <f aca="false">COUNTIFS(SKUs!$A$5:$A$327,A220,SKUs!$I$5:$I$327,C220,SKUs!$H$5:$H$327,"AC")</f>
        <v>1</v>
      </c>
    </row>
    <row r="221" customFormat="false" ht="15" hidden="false" customHeight="false" outlineLevel="0" collapsed="false">
      <c r="A221" s="17" t="s">
        <v>434</v>
      </c>
      <c r="B221" s="17" t="s">
        <v>1704</v>
      </c>
      <c r="C221" s="27" t="s">
        <v>1060</v>
      </c>
      <c r="D221" s="18" t="s">
        <v>1059</v>
      </c>
      <c r="E221" s="29" t="s">
        <v>6</v>
      </c>
      <c r="F221" s="18"/>
      <c r="G221" s="17" t="n">
        <f aca="false">COUNTIFS(SKUs!$A$5:$A$327,A221,SKUs!$I$5:$I$327,C221,SKUs!$H$5:$H$327,"AD")</f>
        <v>1</v>
      </c>
    </row>
    <row r="222" customFormat="false" ht="15" hidden="false" customHeight="false" outlineLevel="0" collapsed="false">
      <c r="A222" s="17" t="s">
        <v>434</v>
      </c>
      <c r="B222" s="17" t="s">
        <v>1704</v>
      </c>
      <c r="C222" s="27" t="s">
        <v>1065</v>
      </c>
      <c r="D222" s="18" t="s">
        <v>1064</v>
      </c>
      <c r="E222" s="29" t="s">
        <v>6</v>
      </c>
      <c r="F222" s="18"/>
      <c r="G222" s="17" t="n">
        <f aca="false">COUNTIFS(SKUs!$A$5:$A$327,A222,SKUs!$I$5:$I$327,C222,SKUs!$H$5:$H$327,"AD")</f>
        <v>1</v>
      </c>
    </row>
    <row r="223" customFormat="false" ht="15" hidden="false" customHeight="false" outlineLevel="0" collapsed="false">
      <c r="A223" s="17" t="s">
        <v>434</v>
      </c>
      <c r="B223" s="17" t="s">
        <v>1705</v>
      </c>
      <c r="C223" s="27" t="s">
        <v>1070</v>
      </c>
      <c r="D223" s="18" t="s">
        <v>1069</v>
      </c>
      <c r="E223" s="29" t="s">
        <v>6</v>
      </c>
      <c r="F223" s="18"/>
      <c r="G223" s="17" t="n">
        <f aca="false">COUNTIFS(SKUs!$A$5:$A$327,A223,SKUs!$I$5:$I$327,C223,SKUs!$H$5:$H$327,"OV")</f>
        <v>1</v>
      </c>
    </row>
    <row r="224" customFormat="false" ht="15" hidden="false" customHeight="false" outlineLevel="0" collapsed="false">
      <c r="A224" s="17" t="s">
        <v>434</v>
      </c>
      <c r="B224" s="17" t="s">
        <v>1698</v>
      </c>
      <c r="C224" s="27" t="s">
        <v>1075</v>
      </c>
      <c r="D224" s="18" t="s">
        <v>1719</v>
      </c>
      <c r="E224" s="28" t="s">
        <v>1700</v>
      </c>
      <c r="F224" s="18"/>
      <c r="G224" s="17" t="n">
        <f aca="false">COUNTIFS(SKUs!$A$5:$A$327,A224,SKUs!$I$5:$I$327,C224,SKUs!$H$5:$H$327,"FR")</f>
        <v>1</v>
      </c>
    </row>
    <row r="225" customFormat="false" ht="15" hidden="false" customHeight="false" outlineLevel="0" collapsed="false">
      <c r="A225" s="17" t="s">
        <v>434</v>
      </c>
      <c r="B225" s="17" t="s">
        <v>1706</v>
      </c>
      <c r="C225" s="27" t="s">
        <v>86</v>
      </c>
      <c r="D225" s="18" t="s">
        <v>1079</v>
      </c>
      <c r="E225" s="29" t="s">
        <v>6</v>
      </c>
      <c r="F225" s="18"/>
      <c r="G225" s="17" t="n">
        <f aca="false">COUNTIFS(SKUs!$A$5:$A$327,A225,SKUs!$I$5:$I$327,C225,SKUs!$H$5:$H$327,"LT")</f>
        <v>1</v>
      </c>
    </row>
    <row r="226" customFormat="false" ht="15" hidden="false" customHeight="false" outlineLevel="0" collapsed="false">
      <c r="A226" s="17" t="s">
        <v>434</v>
      </c>
      <c r="B226" s="17" t="s">
        <v>1706</v>
      </c>
      <c r="C226" s="27" t="s">
        <v>91</v>
      </c>
      <c r="D226" s="18" t="s">
        <v>1083</v>
      </c>
      <c r="E226" s="29" t="s">
        <v>6</v>
      </c>
      <c r="F226" s="18"/>
      <c r="G226" s="17" t="n">
        <f aca="false">COUNTIFS(SKUs!$A$5:$A$327,A226,SKUs!$I$5:$I$327,C226,SKUs!$H$5:$H$327,"LT")</f>
        <v>1</v>
      </c>
    </row>
    <row r="227" customFormat="false" ht="15" hidden="false" customHeight="false" outlineLevel="0" collapsed="false">
      <c r="A227" s="17" t="s">
        <v>434</v>
      </c>
      <c r="B227" s="17" t="s">
        <v>1702</v>
      </c>
      <c r="C227" s="27" t="s">
        <v>1092</v>
      </c>
      <c r="D227" s="18" t="s">
        <v>1091</v>
      </c>
      <c r="E227" s="29" t="s">
        <v>6</v>
      </c>
      <c r="F227" s="18"/>
      <c r="G227" s="17" t="n">
        <f aca="false">COUNTIFS(SKUs!$A$5:$A$327,A227,SKUs!$I$5:$I$327,C227,SKUs!$H$5:$H$327,"BA")</f>
        <v>1</v>
      </c>
    </row>
    <row r="228" customFormat="false" ht="15" hidden="false" customHeight="false" outlineLevel="0" collapsed="false">
      <c r="A228" s="17" t="s">
        <v>434</v>
      </c>
      <c r="B228" s="17" t="s">
        <v>1703</v>
      </c>
      <c r="C228" s="27" t="s">
        <v>1097</v>
      </c>
      <c r="D228" s="18" t="s">
        <v>1096</v>
      </c>
      <c r="E228" s="29" t="s">
        <v>6</v>
      </c>
      <c r="F228" s="18"/>
      <c r="G228" s="17" t="n">
        <f aca="false">COUNTIFS(SKUs!$A$5:$A$327,A228,SKUs!$I$5:$I$327,C228,SKUs!$H$5:$H$327,"AC")</f>
        <v>1</v>
      </c>
    </row>
    <row r="229" customFormat="false" ht="15" hidden="false" customHeight="false" outlineLevel="0" collapsed="false">
      <c r="A229" s="17" t="s">
        <v>434</v>
      </c>
      <c r="B229" s="17" t="s">
        <v>1705</v>
      </c>
      <c r="C229" s="27" t="s">
        <v>1102</v>
      </c>
      <c r="D229" s="18" t="s">
        <v>1101</v>
      </c>
      <c r="E229" s="29" t="s">
        <v>6</v>
      </c>
      <c r="F229" s="18"/>
      <c r="G229" s="17" t="n">
        <f aca="false">COUNTIFS(SKUs!$A$5:$A$327,A229,SKUs!$I$5:$I$327,C229,SKUs!$H$5:$H$327,"OV")</f>
        <v>1</v>
      </c>
    </row>
    <row r="230" customFormat="false" ht="15" hidden="false" customHeight="false" outlineLevel="0" collapsed="false">
      <c r="A230" s="17" t="s">
        <v>434</v>
      </c>
      <c r="B230" s="17" t="s">
        <v>1703</v>
      </c>
      <c r="C230" s="27" t="s">
        <v>1107</v>
      </c>
      <c r="D230" s="18" t="s">
        <v>1106</v>
      </c>
      <c r="E230" s="29" t="s">
        <v>6</v>
      </c>
      <c r="F230" s="18"/>
      <c r="G230" s="17" t="n">
        <f aca="false">COUNTIFS(SKUs!$A$5:$A$327,A230,SKUs!$I$5:$I$327,C230,SKUs!$H$5:$H$327,"AC")</f>
        <v>1</v>
      </c>
    </row>
    <row r="231" customFormat="false" ht="15" hidden="false" customHeight="false" outlineLevel="0" collapsed="false">
      <c r="A231" s="17" t="s">
        <v>434</v>
      </c>
      <c r="B231" s="17" t="s">
        <v>1703</v>
      </c>
      <c r="C231" s="27" t="s">
        <v>1112</v>
      </c>
      <c r="D231" s="18" t="s">
        <v>1111</v>
      </c>
      <c r="E231" s="29" t="s">
        <v>6</v>
      </c>
      <c r="F231" s="18"/>
      <c r="G231" s="17" t="n">
        <f aca="false">COUNTIFS(SKUs!$A$5:$A$327,A231,SKUs!$I$5:$I$327,C231,SKUs!$H$5:$H$327,"AC")</f>
        <v>1</v>
      </c>
    </row>
    <row r="232" customFormat="false" ht="15" hidden="false" customHeight="false" outlineLevel="0" collapsed="false">
      <c r="A232" s="17" t="s">
        <v>434</v>
      </c>
      <c r="B232" s="17" t="s">
        <v>1706</v>
      </c>
      <c r="C232" s="27" t="s">
        <v>391</v>
      </c>
      <c r="D232" s="18" t="s">
        <v>1116</v>
      </c>
      <c r="E232" s="29" t="s">
        <v>6</v>
      </c>
      <c r="F232" s="18"/>
      <c r="G232" s="17" t="n">
        <f aca="false">COUNTIFS(SKUs!$A$5:$A$327,A232,SKUs!$I$5:$I$327,C232,SKUs!$H$5:$H$327,"LT")</f>
        <v>1</v>
      </c>
    </row>
    <row r="233" customFormat="false" ht="15" hidden="false" customHeight="false" outlineLevel="0" collapsed="false">
      <c r="A233" s="17" t="s">
        <v>434</v>
      </c>
      <c r="B233" s="17" t="s">
        <v>1704</v>
      </c>
      <c r="C233" s="27" t="s">
        <v>1121</v>
      </c>
      <c r="D233" s="18" t="s">
        <v>1120</v>
      </c>
      <c r="E233" s="29" t="s">
        <v>6</v>
      </c>
      <c r="F233" s="18"/>
      <c r="G233" s="17" t="n">
        <f aca="false">COUNTIFS(SKUs!$A$5:$A$327,A233,SKUs!$I$5:$I$327,C233,SKUs!$H$5:$H$327,"AD")</f>
        <v>1</v>
      </c>
    </row>
    <row r="234" customFormat="false" ht="15" hidden="false" customHeight="false" outlineLevel="0" collapsed="false">
      <c r="A234" s="17" t="s">
        <v>434</v>
      </c>
      <c r="B234" s="17" t="s">
        <v>1707</v>
      </c>
      <c r="C234" s="27" t="s">
        <v>1126</v>
      </c>
      <c r="D234" s="18" t="s">
        <v>1125</v>
      </c>
      <c r="E234" s="29" t="s">
        <v>6</v>
      </c>
      <c r="F234" s="18"/>
      <c r="G234" s="17" t="n">
        <f aca="false">COUNTIFS(SKUs!$A$5:$A$327,A234,SKUs!$I$5:$I$327,C234,SKUs!$H$5:$H$327,"CE")</f>
        <v>1</v>
      </c>
    </row>
    <row r="235" customFormat="false" ht="15" hidden="false" customHeight="false" outlineLevel="0" collapsed="false">
      <c r="A235" s="17" t="s">
        <v>434</v>
      </c>
      <c r="B235" s="17" t="s">
        <v>1703</v>
      </c>
      <c r="C235" s="27" t="s">
        <v>1131</v>
      </c>
      <c r="D235" s="18" t="s">
        <v>1130</v>
      </c>
      <c r="E235" s="29" t="s">
        <v>6</v>
      </c>
      <c r="F235" s="18"/>
      <c r="G235" s="17" t="n">
        <f aca="false">COUNTIFS(SKUs!$A$5:$A$327,A235,SKUs!$I$5:$I$327,C235,SKUs!$H$5:$H$327,"AC")</f>
        <v>1</v>
      </c>
    </row>
    <row r="236" customFormat="false" ht="15" hidden="false" customHeight="false" outlineLevel="0" collapsed="false">
      <c r="A236" s="17" t="s">
        <v>434</v>
      </c>
      <c r="B236" s="17" t="s">
        <v>1703</v>
      </c>
      <c r="C236" s="27" t="s">
        <v>1136</v>
      </c>
      <c r="D236" s="18" t="s">
        <v>1135</v>
      </c>
      <c r="E236" s="29" t="s">
        <v>6</v>
      </c>
      <c r="F236" s="18"/>
      <c r="G236" s="17" t="n">
        <f aca="false">COUNTIFS(SKUs!$A$5:$A$327,A236,SKUs!$I$5:$I$327,C236,SKUs!$H$5:$H$327,"AC")</f>
        <v>1</v>
      </c>
    </row>
    <row r="237" customFormat="false" ht="15" hidden="false" customHeight="false" outlineLevel="0" collapsed="false">
      <c r="A237" s="17" t="s">
        <v>434</v>
      </c>
      <c r="B237" s="17" t="s">
        <v>1703</v>
      </c>
      <c r="C237" s="27" t="s">
        <v>1141</v>
      </c>
      <c r="D237" s="18" t="s">
        <v>1140</v>
      </c>
      <c r="E237" s="29" t="s">
        <v>6</v>
      </c>
      <c r="F237" s="18"/>
      <c r="G237" s="17" t="n">
        <f aca="false">COUNTIFS(SKUs!$A$5:$A$327,A237,SKUs!$I$5:$I$327,C237,SKUs!$H$5:$H$327,"AC")</f>
        <v>1</v>
      </c>
    </row>
    <row r="238" customFormat="false" ht="15" hidden="false" customHeight="false" outlineLevel="0" collapsed="false">
      <c r="A238" s="17" t="s">
        <v>434</v>
      </c>
      <c r="B238" s="17" t="s">
        <v>1703</v>
      </c>
      <c r="C238" s="27" t="s">
        <v>1146</v>
      </c>
      <c r="D238" s="18" t="s">
        <v>1145</v>
      </c>
      <c r="E238" s="29" t="s">
        <v>6</v>
      </c>
      <c r="F238" s="18"/>
      <c r="G238" s="17" t="n">
        <f aca="false">COUNTIFS(SKUs!$A$5:$A$327,A238,SKUs!$I$5:$I$327,C238,SKUs!$H$5:$H$327,"AC")</f>
        <v>1</v>
      </c>
    </row>
    <row r="239" customFormat="false" ht="15" hidden="false" customHeight="false" outlineLevel="0" collapsed="false">
      <c r="A239" s="17" t="s">
        <v>434</v>
      </c>
      <c r="B239" s="17" t="s">
        <v>1703</v>
      </c>
      <c r="C239" s="27" t="s">
        <v>1151</v>
      </c>
      <c r="D239" s="18" t="s">
        <v>1150</v>
      </c>
      <c r="E239" s="29" t="s">
        <v>6</v>
      </c>
      <c r="F239" s="18"/>
      <c r="G239" s="17" t="n">
        <f aca="false">COUNTIFS(SKUs!$A$5:$A$327,A239,SKUs!$I$5:$I$327,C239,SKUs!$H$5:$H$327,"AC")</f>
        <v>1</v>
      </c>
    </row>
    <row r="240" customFormat="false" ht="15" hidden="false" customHeight="false" outlineLevel="0" collapsed="false">
      <c r="A240" s="17" t="s">
        <v>434</v>
      </c>
      <c r="B240" s="17" t="s">
        <v>1702</v>
      </c>
      <c r="C240" s="27" t="s">
        <v>1156</v>
      </c>
      <c r="D240" s="18" t="s">
        <v>1155</v>
      </c>
      <c r="E240" s="29" t="s">
        <v>6</v>
      </c>
      <c r="F240" s="18"/>
      <c r="G240" s="17" t="n">
        <f aca="false">COUNTIFS(SKUs!$A$5:$A$327,A240,SKUs!$I$5:$I$327,C240,SKUs!$H$5:$H$327,"BA")</f>
        <v>1</v>
      </c>
    </row>
    <row r="241" customFormat="false" ht="15" hidden="false" customHeight="false" outlineLevel="0" collapsed="false">
      <c r="A241" s="17" t="s">
        <v>434</v>
      </c>
      <c r="B241" s="17" t="s">
        <v>1704</v>
      </c>
      <c r="C241" s="27" t="s">
        <v>1161</v>
      </c>
      <c r="D241" s="18" t="s">
        <v>1160</v>
      </c>
      <c r="E241" s="29" t="s">
        <v>6</v>
      </c>
      <c r="F241" s="18"/>
      <c r="G241" s="17" t="n">
        <f aca="false">COUNTIFS(SKUs!$A$5:$A$327,A241,SKUs!$I$5:$I$327,C241,SKUs!$H$5:$H$327,"AD")</f>
        <v>1</v>
      </c>
    </row>
    <row r="242" customFormat="false" ht="15" hidden="false" customHeight="false" outlineLevel="0" collapsed="false">
      <c r="A242" s="17" t="s">
        <v>434</v>
      </c>
      <c r="B242" s="17" t="s">
        <v>1706</v>
      </c>
      <c r="C242" s="27" t="s">
        <v>167</v>
      </c>
      <c r="D242" s="18" t="s">
        <v>1165</v>
      </c>
      <c r="E242" s="29" t="s">
        <v>6</v>
      </c>
      <c r="F242" s="18"/>
      <c r="G242" s="17" t="n">
        <f aca="false">COUNTIFS(SKUs!$A$5:$A$327,A242,SKUs!$I$5:$I$327,C242,SKUs!$H$5:$H$327,"LT")</f>
        <v>1</v>
      </c>
    </row>
    <row r="243" customFormat="false" ht="15" hidden="false" customHeight="false" outlineLevel="0" collapsed="false">
      <c r="A243" s="17" t="s">
        <v>434</v>
      </c>
      <c r="B243" s="17" t="s">
        <v>1702</v>
      </c>
      <c r="C243" s="27" t="s">
        <v>1170</v>
      </c>
      <c r="D243" s="18" t="s">
        <v>1169</v>
      </c>
      <c r="E243" s="29" t="s">
        <v>6</v>
      </c>
      <c r="F243" s="18"/>
      <c r="G243" s="17" t="n">
        <f aca="false">COUNTIFS(SKUs!$A$5:$A$327,A243,SKUs!$I$5:$I$327,C243,SKUs!$H$5:$H$327,"BA")</f>
        <v>1</v>
      </c>
    </row>
    <row r="244" customFormat="false" ht="15" hidden="false" customHeight="false" outlineLevel="0" collapsed="false">
      <c r="A244" s="17" t="s">
        <v>434</v>
      </c>
      <c r="B244" s="17" t="s">
        <v>1704</v>
      </c>
      <c r="C244" s="27" t="s">
        <v>1175</v>
      </c>
      <c r="D244" s="18" t="s">
        <v>1174</v>
      </c>
      <c r="E244" s="29" t="s">
        <v>6</v>
      </c>
      <c r="F244" s="18"/>
      <c r="G244" s="17" t="n">
        <f aca="false">COUNTIFS(SKUs!$A$5:$A$327,A244,SKUs!$I$5:$I$327,C244,SKUs!$H$5:$H$327,"AD")</f>
        <v>1</v>
      </c>
    </row>
    <row r="245" customFormat="false" ht="15" hidden="false" customHeight="false" outlineLevel="0" collapsed="false">
      <c r="A245" s="17" t="s">
        <v>434</v>
      </c>
      <c r="B245" s="17" t="s">
        <v>1703</v>
      </c>
      <c r="C245" s="27" t="s">
        <v>1180</v>
      </c>
      <c r="D245" s="18" t="s">
        <v>1179</v>
      </c>
      <c r="E245" s="29" t="s">
        <v>6</v>
      </c>
      <c r="F245" s="18"/>
      <c r="G245" s="17" t="n">
        <f aca="false">COUNTIFS(SKUs!$A$5:$A$327,A245,SKUs!$I$5:$I$327,C245,SKUs!$H$5:$H$327,"AC")</f>
        <v>1</v>
      </c>
    </row>
    <row r="246" customFormat="false" ht="15" hidden="false" customHeight="false" outlineLevel="0" collapsed="false">
      <c r="A246" s="17" t="s">
        <v>434</v>
      </c>
      <c r="B246" s="17" t="s">
        <v>1707</v>
      </c>
      <c r="C246" s="27" t="s">
        <v>1185</v>
      </c>
      <c r="D246" s="18" t="s">
        <v>1184</v>
      </c>
      <c r="E246" s="29" t="s">
        <v>6</v>
      </c>
      <c r="F246" s="18"/>
      <c r="G246" s="17" t="n">
        <f aca="false">COUNTIFS(SKUs!$A$5:$A$327,A246,SKUs!$I$5:$I$327,C246,SKUs!$H$5:$H$327,"CE")</f>
        <v>1</v>
      </c>
    </row>
    <row r="247" customFormat="false" ht="15" hidden="false" customHeight="false" outlineLevel="0" collapsed="false">
      <c r="A247" s="17" t="s">
        <v>434</v>
      </c>
      <c r="B247" s="17" t="s">
        <v>1703</v>
      </c>
      <c r="C247" s="27" t="s">
        <v>1190</v>
      </c>
      <c r="D247" s="18" t="s">
        <v>1189</v>
      </c>
      <c r="E247" s="29" t="s">
        <v>6</v>
      </c>
      <c r="F247" s="18"/>
      <c r="G247" s="17" t="n">
        <f aca="false">COUNTIFS(SKUs!$A$5:$A$327,A247,SKUs!$I$5:$I$327,C247,SKUs!$H$5:$H$327,"AC")</f>
        <v>1</v>
      </c>
    </row>
    <row r="248" customFormat="false" ht="15" hidden="false" customHeight="false" outlineLevel="0" collapsed="false">
      <c r="A248" s="17" t="s">
        <v>434</v>
      </c>
      <c r="B248" s="17" t="s">
        <v>1698</v>
      </c>
      <c r="C248" s="27" t="s">
        <v>1195</v>
      </c>
      <c r="D248" s="18" t="s">
        <v>1194</v>
      </c>
      <c r="E248" s="29" t="s">
        <v>6</v>
      </c>
      <c r="F248" s="18"/>
      <c r="G248" s="17" t="n">
        <f aca="false">COUNTIFS(SKUs!$A$5:$A$327,A248,SKUs!$I$5:$I$327,C248,SKUs!$H$5:$H$327,"FR")</f>
        <v>1</v>
      </c>
    </row>
    <row r="249" customFormat="false" ht="15" hidden="false" customHeight="false" outlineLevel="0" collapsed="false">
      <c r="A249" s="17" t="s">
        <v>434</v>
      </c>
      <c r="B249" s="17" t="s">
        <v>1706</v>
      </c>
      <c r="C249" s="27" t="s">
        <v>366</v>
      </c>
      <c r="D249" s="18" t="s">
        <v>1200</v>
      </c>
      <c r="E249" s="29" t="s">
        <v>6</v>
      </c>
      <c r="F249" s="18"/>
      <c r="G249" s="17" t="n">
        <f aca="false">COUNTIFS(SKUs!$A$5:$A$327,A249,SKUs!$I$5:$I$327,C249,SKUs!$H$5:$H$327,"LT")</f>
        <v>1</v>
      </c>
    </row>
    <row r="250" customFormat="false" ht="15" hidden="false" customHeight="false" outlineLevel="0" collapsed="false">
      <c r="A250" s="17" t="s">
        <v>434</v>
      </c>
      <c r="B250" s="17" t="s">
        <v>1706</v>
      </c>
      <c r="C250" s="27" t="s">
        <v>414</v>
      </c>
      <c r="D250" s="18" t="s">
        <v>1204</v>
      </c>
      <c r="E250" s="29" t="s">
        <v>6</v>
      </c>
      <c r="F250" s="18"/>
      <c r="G250" s="17" t="n">
        <f aca="false">COUNTIFS(SKUs!$A$5:$A$327,A250,SKUs!$I$5:$I$327,C250,SKUs!$H$5:$H$327,"LT")</f>
        <v>1</v>
      </c>
    </row>
    <row r="251" customFormat="false" ht="15" hidden="false" customHeight="false" outlineLevel="0" collapsed="false">
      <c r="A251" s="17" t="s">
        <v>434</v>
      </c>
      <c r="B251" s="17" t="s">
        <v>1706</v>
      </c>
      <c r="C251" s="27" t="s">
        <v>409</v>
      </c>
      <c r="D251" s="18" t="s">
        <v>1208</v>
      </c>
      <c r="E251" s="29" t="s">
        <v>6</v>
      </c>
      <c r="F251" s="18"/>
      <c r="G251" s="17" t="n">
        <f aca="false">COUNTIFS(SKUs!$A$5:$A$327,A251,SKUs!$I$5:$I$327,C251,SKUs!$H$5:$H$327,"LT")</f>
        <v>1</v>
      </c>
    </row>
    <row r="252" customFormat="false" ht="15" hidden="false" customHeight="false" outlineLevel="0" collapsed="false">
      <c r="A252" s="17" t="s">
        <v>434</v>
      </c>
      <c r="B252" s="17" t="s">
        <v>1703</v>
      </c>
      <c r="C252" s="27" t="s">
        <v>1213</v>
      </c>
      <c r="D252" s="18" t="s">
        <v>1212</v>
      </c>
      <c r="E252" s="29" t="s">
        <v>6</v>
      </c>
      <c r="F252" s="18"/>
      <c r="G252" s="17" t="n">
        <f aca="false">COUNTIFS(SKUs!$A$5:$A$327,A252,SKUs!$I$5:$I$327,C252,SKUs!$H$5:$H$327,"AC")</f>
        <v>1</v>
      </c>
    </row>
    <row r="253" customFormat="false" ht="15" hidden="false" customHeight="false" outlineLevel="0" collapsed="false">
      <c r="A253" s="17" t="s">
        <v>434</v>
      </c>
      <c r="B253" s="17" t="s">
        <v>1703</v>
      </c>
      <c r="C253" s="27" t="s">
        <v>1218</v>
      </c>
      <c r="D253" s="18" t="s">
        <v>1217</v>
      </c>
      <c r="E253" s="29" t="s">
        <v>6</v>
      </c>
      <c r="F253" s="18"/>
      <c r="G253" s="17" t="n">
        <f aca="false">COUNTIFS(SKUs!$A$5:$A$327,A253,SKUs!$I$5:$I$327,C253,SKUs!$H$5:$H$327,"AC")</f>
        <v>1</v>
      </c>
    </row>
    <row r="254" customFormat="false" ht="15" hidden="false" customHeight="false" outlineLevel="0" collapsed="false">
      <c r="A254" s="17" t="s">
        <v>434</v>
      </c>
      <c r="B254" s="17" t="s">
        <v>1703</v>
      </c>
      <c r="C254" s="27" t="s">
        <v>1223</v>
      </c>
      <c r="D254" s="18" t="s">
        <v>1222</v>
      </c>
      <c r="E254" s="29" t="s">
        <v>6</v>
      </c>
      <c r="F254" s="18"/>
      <c r="G254" s="17" t="n">
        <f aca="false">COUNTIFS(SKUs!$A$5:$A$327,A254,SKUs!$I$5:$I$327,C254,SKUs!$H$5:$H$327,"AC")</f>
        <v>1</v>
      </c>
    </row>
    <row r="255" customFormat="false" ht="15" hidden="false" customHeight="false" outlineLevel="0" collapsed="false">
      <c r="A255" s="17" t="s">
        <v>434</v>
      </c>
      <c r="B255" s="17" t="s">
        <v>1698</v>
      </c>
      <c r="C255" s="27" t="s">
        <v>1232</v>
      </c>
      <c r="D255" s="18" t="s">
        <v>1231</v>
      </c>
      <c r="E255" s="29" t="s">
        <v>6</v>
      </c>
      <c r="F255" s="18"/>
      <c r="G255" s="17" t="n">
        <f aca="false">COUNTIFS(SKUs!$A$5:$A$327,A255,SKUs!$I$5:$I$327,C255,SKUs!$H$5:$H$327,"FR")</f>
        <v>1</v>
      </c>
    </row>
    <row r="256" customFormat="false" ht="15" hidden="false" customHeight="false" outlineLevel="0" collapsed="false">
      <c r="A256" s="17" t="s">
        <v>434</v>
      </c>
      <c r="B256" s="17" t="s">
        <v>1704</v>
      </c>
      <c r="C256" s="27" t="s">
        <v>1237</v>
      </c>
      <c r="D256" s="18" t="s">
        <v>1236</v>
      </c>
      <c r="E256" s="29" t="s">
        <v>6</v>
      </c>
      <c r="F256" s="18"/>
      <c r="G256" s="17" t="n">
        <f aca="false">COUNTIFS(SKUs!$A$5:$A$327,A256,SKUs!$I$5:$I$327,C256,SKUs!$H$5:$H$327,"AD")</f>
        <v>1</v>
      </c>
    </row>
    <row r="257" customFormat="false" ht="15" hidden="false" customHeight="false" outlineLevel="0" collapsed="false">
      <c r="A257" s="17" t="s">
        <v>434</v>
      </c>
      <c r="B257" s="17" t="s">
        <v>1698</v>
      </c>
      <c r="C257" s="27" t="s">
        <v>1242</v>
      </c>
      <c r="D257" s="18" t="s">
        <v>1241</v>
      </c>
      <c r="E257" s="29" t="s">
        <v>6</v>
      </c>
      <c r="F257" s="18"/>
      <c r="G257" s="17" t="n">
        <f aca="false">COUNTIFS(SKUs!$A$5:$A$327,A257,SKUs!$I$5:$I$327,C257,SKUs!$H$5:$H$327,"FR")</f>
        <v>1</v>
      </c>
    </row>
    <row r="258" customFormat="false" ht="15" hidden="false" customHeight="false" outlineLevel="0" collapsed="false">
      <c r="A258" s="17" t="s">
        <v>434</v>
      </c>
      <c r="B258" s="17" t="s">
        <v>1703</v>
      </c>
      <c r="C258" s="27" t="s">
        <v>1247</v>
      </c>
      <c r="D258" s="18" t="s">
        <v>1246</v>
      </c>
      <c r="E258" s="29" t="s">
        <v>6</v>
      </c>
      <c r="F258" s="18"/>
      <c r="G258" s="17" t="n">
        <f aca="false">COUNTIFS(SKUs!$A$5:$A$327,A258,SKUs!$I$5:$I$327,C258,SKUs!$H$5:$H$327,"AC")</f>
        <v>1</v>
      </c>
    </row>
    <row r="259" customFormat="false" ht="15" hidden="false" customHeight="false" outlineLevel="0" collapsed="false">
      <c r="A259" s="17" t="s">
        <v>434</v>
      </c>
      <c r="B259" s="17" t="s">
        <v>1704</v>
      </c>
      <c r="C259" s="27" t="s">
        <v>1260</v>
      </c>
      <c r="D259" s="18" t="s">
        <v>1259</v>
      </c>
      <c r="E259" s="29" t="s">
        <v>6</v>
      </c>
      <c r="F259" s="18"/>
      <c r="G259" s="17" t="n">
        <f aca="false">COUNTIFS(SKUs!$A$5:$A$327,A259,SKUs!$I$5:$I$327,C259,SKUs!$H$5:$H$327,"AD")</f>
        <v>1</v>
      </c>
    </row>
    <row r="260" customFormat="false" ht="15" hidden="false" customHeight="false" outlineLevel="0" collapsed="false">
      <c r="A260" s="17" t="s">
        <v>434</v>
      </c>
      <c r="B260" s="17" t="s">
        <v>1698</v>
      </c>
      <c r="C260" s="27" t="s">
        <v>1265</v>
      </c>
      <c r="D260" s="18" t="s">
        <v>1720</v>
      </c>
      <c r="E260" s="28" t="s">
        <v>1700</v>
      </c>
      <c r="F260" s="18"/>
      <c r="G260" s="17" t="n">
        <f aca="false">COUNTIFS(SKUs!$A$5:$A$327,A260,SKUs!$I$5:$I$327,C260,SKUs!$H$5:$H$327,"FR")</f>
        <v>1</v>
      </c>
    </row>
    <row r="261" customFormat="false" ht="15" hidden="false" customHeight="false" outlineLevel="0" collapsed="false">
      <c r="A261" s="17" t="s">
        <v>434</v>
      </c>
      <c r="B261" s="17" t="s">
        <v>1704</v>
      </c>
      <c r="C261" s="27" t="s">
        <v>1270</v>
      </c>
      <c r="D261" s="18" t="s">
        <v>1269</v>
      </c>
      <c r="E261" s="29" t="s">
        <v>6</v>
      </c>
      <c r="F261" s="18"/>
      <c r="G261" s="17" t="n">
        <f aca="false">COUNTIFS(SKUs!$A$5:$A$327,A261,SKUs!$I$5:$I$327,C261,SKUs!$H$5:$H$327,"AD")</f>
        <v>1</v>
      </c>
    </row>
    <row r="262" customFormat="false" ht="15" hidden="false" customHeight="false" outlineLevel="0" collapsed="false">
      <c r="A262" s="17" t="s">
        <v>434</v>
      </c>
      <c r="B262" s="17" t="s">
        <v>1702</v>
      </c>
      <c r="C262" s="27" t="s">
        <v>1279</v>
      </c>
      <c r="D262" s="18" t="s">
        <v>1278</v>
      </c>
      <c r="E262" s="29" t="s">
        <v>6</v>
      </c>
      <c r="F262" s="18"/>
      <c r="G262" s="17" t="n">
        <f aca="false">COUNTIFS(SKUs!$A$5:$A$327,A262,SKUs!$I$5:$I$327,C262,SKUs!$H$5:$H$327,"BA")</f>
        <v>1</v>
      </c>
    </row>
    <row r="263" customFormat="false" ht="15" hidden="false" customHeight="false" outlineLevel="0" collapsed="false">
      <c r="A263" s="17" t="s">
        <v>434</v>
      </c>
      <c r="B263" s="17" t="s">
        <v>1703</v>
      </c>
      <c r="C263" s="27" t="s">
        <v>1284</v>
      </c>
      <c r="D263" s="18" t="s">
        <v>1283</v>
      </c>
      <c r="E263" s="29" t="s">
        <v>6</v>
      </c>
      <c r="F263" s="18"/>
      <c r="G263" s="17" t="n">
        <f aca="false">COUNTIFS(SKUs!$A$5:$A$327,A263,SKUs!$I$5:$I$327,C263,SKUs!$H$5:$H$327,"AC")</f>
        <v>1</v>
      </c>
    </row>
    <row r="264" customFormat="false" ht="15" hidden="false" customHeight="false" outlineLevel="0" collapsed="false">
      <c r="A264" s="17" t="s">
        <v>434</v>
      </c>
      <c r="B264" s="17" t="s">
        <v>1721</v>
      </c>
      <c r="C264" s="27" t="s">
        <v>451</v>
      </c>
      <c r="D264" s="18" t="s">
        <v>1722</v>
      </c>
      <c r="E264" s="28" t="s">
        <v>1541</v>
      </c>
      <c r="F264" s="18" t="s">
        <v>1723</v>
      </c>
      <c r="G264" s="17" t="n">
        <f aca="false">COUNTIFS(SKUs!$A$5:$A$327,A264,SKUs!$J$5:$J$327,C264)</f>
        <v>128</v>
      </c>
    </row>
    <row r="265" customFormat="false" ht="15" hidden="false" customHeight="false" outlineLevel="0" collapsed="false">
      <c r="A265" s="17" t="s">
        <v>434</v>
      </c>
      <c r="B265" s="17" t="s">
        <v>1721</v>
      </c>
      <c r="C265" s="27" t="s">
        <v>531</v>
      </c>
      <c r="D265" s="18" t="s">
        <v>1724</v>
      </c>
      <c r="E265" s="28" t="s">
        <v>1541</v>
      </c>
      <c r="F265" s="18" t="s">
        <v>1723</v>
      </c>
      <c r="G265" s="17" t="n">
        <f aca="false">COUNTIFS(SKUs!$A$5:$A$327,A265,SKUs!$J$5:$J$327,C265)</f>
        <v>20</v>
      </c>
    </row>
    <row r="266" customFormat="false" ht="15" hidden="false" customHeight="false" outlineLevel="0" collapsed="false">
      <c r="A266" s="17" t="s">
        <v>434</v>
      </c>
      <c r="B266" s="17" t="s">
        <v>1721</v>
      </c>
      <c r="C266" s="27" t="s">
        <v>445</v>
      </c>
      <c r="D266" s="18" t="s">
        <v>1725</v>
      </c>
      <c r="E266" s="28" t="s">
        <v>1541</v>
      </c>
      <c r="F266" s="18" t="s">
        <v>1723</v>
      </c>
      <c r="G266" s="17" t="n">
        <f aca="false">COUNTIFS(SKUs!$A$5:$A$327,A266,SKUs!$J$5:$J$327,C266)</f>
        <v>9</v>
      </c>
    </row>
    <row r="267" customFormat="false" ht="15" hidden="false" customHeight="false" outlineLevel="0" collapsed="false">
      <c r="A267" s="17" t="s">
        <v>434</v>
      </c>
      <c r="B267" s="17" t="s">
        <v>1721</v>
      </c>
      <c r="C267" s="27" t="s">
        <v>439</v>
      </c>
      <c r="D267" s="18" t="s">
        <v>1726</v>
      </c>
      <c r="E267" s="28" t="s">
        <v>1541</v>
      </c>
      <c r="F267" s="18" t="s">
        <v>1727</v>
      </c>
      <c r="G267" s="17" t="n">
        <f aca="false">COUNTIFS(SKUs!$A$5:$A$327,A267,SKUs!$J$5:$J$327,C267)</f>
        <v>16</v>
      </c>
    </row>
    <row r="268" customFormat="false" ht="15" hidden="false" customHeight="false" outlineLevel="0" collapsed="false">
      <c r="A268" s="17" t="s">
        <v>1287</v>
      </c>
      <c r="B268" s="17" t="s">
        <v>1575</v>
      </c>
      <c r="C268" s="27" t="s">
        <v>1287</v>
      </c>
      <c r="D268" s="18" t="s">
        <v>1728</v>
      </c>
      <c r="E268" s="28" t="s">
        <v>1541</v>
      </c>
      <c r="F268" s="18"/>
      <c r="G268" s="17" t="n">
        <f aca="false">COUNTIFS(SKUs!$A$5:$A$327,A268,SKUs!$G$5:$G$327,C268)</f>
        <v>43</v>
      </c>
    </row>
    <row r="269" customFormat="false" ht="15" hidden="false" customHeight="false" outlineLevel="0" collapsed="false">
      <c r="A269" s="17" t="s">
        <v>1287</v>
      </c>
      <c r="B269" s="17" t="s">
        <v>1685</v>
      </c>
      <c r="C269" s="27" t="s">
        <v>1292</v>
      </c>
      <c r="D269" s="18" t="s">
        <v>1729</v>
      </c>
      <c r="E269" s="28" t="s">
        <v>1541</v>
      </c>
      <c r="F269" s="18" t="s">
        <v>1730</v>
      </c>
      <c r="G269" s="17" t="n">
        <f aca="false">COUNTIFS(SKUs!$A$5:$A$327,A269,SKUs!$H$5:$H$327,C269)</f>
        <v>37</v>
      </c>
    </row>
    <row r="270" customFormat="false" ht="15" hidden="false" customHeight="false" outlineLevel="0" collapsed="false">
      <c r="A270" s="17" t="s">
        <v>1287</v>
      </c>
      <c r="B270" s="17" t="s">
        <v>1685</v>
      </c>
      <c r="C270" s="27" t="s">
        <v>1325</v>
      </c>
      <c r="D270" s="18" t="s">
        <v>1731</v>
      </c>
      <c r="E270" s="28" t="s">
        <v>1541</v>
      </c>
      <c r="F270" s="18"/>
      <c r="G270" s="17" t="n">
        <f aca="false">COUNTIFS(SKUs!$A$5:$A$327,A270,SKUs!$H$5:$H$327,C270)</f>
        <v>6</v>
      </c>
    </row>
    <row r="271" customFormat="false" ht="15" hidden="false" customHeight="false" outlineLevel="0" collapsed="false">
      <c r="A271" s="17" t="s">
        <v>1287</v>
      </c>
      <c r="B271" s="17" t="s">
        <v>1732</v>
      </c>
      <c r="C271" s="27" t="s">
        <v>220</v>
      </c>
      <c r="D271" s="18" t="s">
        <v>1424</v>
      </c>
      <c r="E271" s="29" t="s">
        <v>6</v>
      </c>
      <c r="F271" s="18" t="s">
        <v>1733</v>
      </c>
      <c r="G271" s="17" t="n">
        <f aca="false">COUNTIFS(SKUs!$A$5:$A$327,A271,SKUs!$I$5:$I$327,C271,SKUs!$H$5:$H$327,"PR")</f>
        <v>1</v>
      </c>
    </row>
    <row r="272" customFormat="false" ht="15" hidden="false" customHeight="false" outlineLevel="0" collapsed="false">
      <c r="A272" s="17" t="s">
        <v>1287</v>
      </c>
      <c r="B272" s="17" t="s">
        <v>1732</v>
      </c>
      <c r="C272" s="27" t="s">
        <v>225</v>
      </c>
      <c r="D272" s="18" t="s">
        <v>1428</v>
      </c>
      <c r="E272" s="29" t="s">
        <v>6</v>
      </c>
      <c r="F272" s="18" t="s">
        <v>1733</v>
      </c>
      <c r="G272" s="17" t="n">
        <f aca="false">COUNTIFS(SKUs!$A$5:$A$327,A272,SKUs!$I$5:$I$327,C272,SKUs!$H$5:$H$327,"PR")</f>
        <v>1</v>
      </c>
    </row>
    <row r="273" customFormat="false" ht="15" hidden="false" customHeight="false" outlineLevel="0" collapsed="false">
      <c r="A273" s="17" t="s">
        <v>1287</v>
      </c>
      <c r="B273" s="17" t="s">
        <v>1732</v>
      </c>
      <c r="C273" s="27" t="s">
        <v>56</v>
      </c>
      <c r="D273" s="18" t="s">
        <v>1431</v>
      </c>
      <c r="E273" s="29" t="s">
        <v>6</v>
      </c>
      <c r="F273" s="18" t="s">
        <v>1733</v>
      </c>
      <c r="G273" s="17" t="n">
        <f aca="false">COUNTIFS(SKUs!$A$5:$A$327,A273,SKUs!$I$5:$I$327,C273,SKUs!$H$5:$H$327,"PR")</f>
        <v>1</v>
      </c>
    </row>
    <row r="274" customFormat="false" ht="15" hidden="false" customHeight="false" outlineLevel="0" collapsed="false">
      <c r="A274" s="17" t="s">
        <v>1287</v>
      </c>
      <c r="B274" s="17" t="s">
        <v>1732</v>
      </c>
      <c r="C274" s="27" t="s">
        <v>241</v>
      </c>
      <c r="D274" s="18" t="s">
        <v>1434</v>
      </c>
      <c r="E274" s="29" t="s">
        <v>6</v>
      </c>
      <c r="F274" s="18" t="s">
        <v>1733</v>
      </c>
      <c r="G274" s="17" t="n">
        <f aca="false">COUNTIFS(SKUs!$A$5:$A$327,A274,SKUs!$I$5:$I$327,C274,SKUs!$H$5:$H$327,"PR")</f>
        <v>1</v>
      </c>
    </row>
    <row r="275" customFormat="false" ht="15" hidden="false" customHeight="false" outlineLevel="0" collapsed="false">
      <c r="A275" s="17" t="s">
        <v>1287</v>
      </c>
      <c r="B275" s="17" t="s">
        <v>1732</v>
      </c>
      <c r="C275" s="27" t="s">
        <v>246</v>
      </c>
      <c r="D275" s="18" t="s">
        <v>1438</v>
      </c>
      <c r="E275" s="29" t="s">
        <v>6</v>
      </c>
      <c r="F275" s="18" t="s">
        <v>1733</v>
      </c>
      <c r="G275" s="17" t="n">
        <f aca="false">COUNTIFS(SKUs!$A$5:$A$327,A275,SKUs!$I$5:$I$327,C275,SKUs!$H$5:$H$327,"PR")</f>
        <v>1</v>
      </c>
    </row>
    <row r="276" customFormat="false" ht="15" hidden="false" customHeight="false" outlineLevel="0" collapsed="false">
      <c r="A276" s="17" t="s">
        <v>1287</v>
      </c>
      <c r="B276" s="17" t="s">
        <v>1732</v>
      </c>
      <c r="C276" s="27" t="s">
        <v>530</v>
      </c>
      <c r="D276" s="18" t="s">
        <v>1441</v>
      </c>
      <c r="E276" s="29" t="s">
        <v>6</v>
      </c>
      <c r="F276" s="18" t="s">
        <v>1733</v>
      </c>
      <c r="G276" s="17" t="n">
        <f aca="false">COUNTIFS(SKUs!$A$5:$A$327,A276,SKUs!$I$5:$I$327,C276,SKUs!$H$5:$H$327,"PR")</f>
        <v>1</v>
      </c>
    </row>
    <row r="277" customFormat="false" ht="15" hidden="false" customHeight="false" outlineLevel="0" collapsed="false">
      <c r="A277" s="17" t="s">
        <v>1287</v>
      </c>
      <c r="B277" s="17" t="s">
        <v>1732</v>
      </c>
      <c r="C277" s="27" t="s">
        <v>264</v>
      </c>
      <c r="D277" s="18" t="s">
        <v>1445</v>
      </c>
      <c r="E277" s="29" t="s">
        <v>6</v>
      </c>
      <c r="F277" s="18" t="s">
        <v>1733</v>
      </c>
      <c r="G277" s="17" t="n">
        <f aca="false">COUNTIFS(SKUs!$A$5:$A$327,A277,SKUs!$I$5:$I$327,C277,SKUs!$H$5:$H$327,"PR")</f>
        <v>1</v>
      </c>
    </row>
    <row r="278" customFormat="false" ht="15" hidden="false" customHeight="false" outlineLevel="0" collapsed="false">
      <c r="A278" s="17" t="s">
        <v>1287</v>
      </c>
      <c r="B278" s="17" t="s">
        <v>1732</v>
      </c>
      <c r="C278" s="27" t="s">
        <v>493</v>
      </c>
      <c r="D278" s="18" t="s">
        <v>1448</v>
      </c>
      <c r="E278" s="29" t="s">
        <v>6</v>
      </c>
      <c r="F278" s="18" t="s">
        <v>1733</v>
      </c>
      <c r="G278" s="17" t="n">
        <f aca="false">COUNTIFS(SKUs!$A$5:$A$327,A278,SKUs!$I$5:$I$327,C278,SKUs!$H$5:$H$327,"PR")</f>
        <v>1</v>
      </c>
    </row>
    <row r="279" customFormat="false" ht="15" hidden="false" customHeight="false" outlineLevel="0" collapsed="false">
      <c r="A279" s="17" t="s">
        <v>1287</v>
      </c>
      <c r="B279" s="17" t="s">
        <v>1732</v>
      </c>
      <c r="C279" s="27" t="s">
        <v>108</v>
      </c>
      <c r="D279" s="18" t="s">
        <v>1290</v>
      </c>
      <c r="E279" s="29" t="s">
        <v>6</v>
      </c>
      <c r="F279" s="18" t="s">
        <v>1733</v>
      </c>
      <c r="G279" s="17" t="n">
        <f aca="false">COUNTIFS(SKUs!$A$5:$A$327,A279,SKUs!$I$5:$I$327,C279,SKUs!$H$5:$H$327,"PR")</f>
        <v>1</v>
      </c>
    </row>
    <row r="280" customFormat="false" ht="15" hidden="false" customHeight="false" outlineLevel="0" collapsed="false">
      <c r="A280" s="17" t="s">
        <v>1287</v>
      </c>
      <c r="B280" s="17" t="s">
        <v>1732</v>
      </c>
      <c r="C280" s="27" t="s">
        <v>96</v>
      </c>
      <c r="D280" s="18" t="s">
        <v>1296</v>
      </c>
      <c r="E280" s="29" t="s">
        <v>6</v>
      </c>
      <c r="F280" s="18" t="s">
        <v>1733</v>
      </c>
      <c r="G280" s="17" t="n">
        <f aca="false">COUNTIFS(SKUs!$A$5:$A$327,A280,SKUs!$I$5:$I$327,C280,SKUs!$H$5:$H$327,"PR")</f>
        <v>1</v>
      </c>
    </row>
    <row r="281" customFormat="false" ht="15" hidden="false" customHeight="false" outlineLevel="0" collapsed="false">
      <c r="A281" s="17" t="s">
        <v>1287</v>
      </c>
      <c r="B281" s="17" t="s">
        <v>1732</v>
      </c>
      <c r="C281" s="27" t="s">
        <v>361</v>
      </c>
      <c r="D281" s="18" t="s">
        <v>1299</v>
      </c>
      <c r="E281" s="29" t="s">
        <v>6</v>
      </c>
      <c r="F281" s="18" t="s">
        <v>1733</v>
      </c>
      <c r="G281" s="17" t="n">
        <f aca="false">COUNTIFS(SKUs!$A$5:$A$327,A281,SKUs!$I$5:$I$327,C281,SKUs!$H$5:$H$327,"PR")</f>
        <v>1</v>
      </c>
    </row>
    <row r="282" customFormat="false" ht="15" hidden="false" customHeight="false" outlineLevel="0" collapsed="false">
      <c r="A282" s="17" t="s">
        <v>1287</v>
      </c>
      <c r="B282" s="17" t="s">
        <v>1732</v>
      </c>
      <c r="C282" s="27" t="s">
        <v>102</v>
      </c>
      <c r="D282" s="18" t="s">
        <v>1302</v>
      </c>
      <c r="E282" s="29" t="s">
        <v>6</v>
      </c>
      <c r="F282" s="18" t="s">
        <v>1733</v>
      </c>
      <c r="G282" s="17" t="n">
        <f aca="false">COUNTIFS(SKUs!$A$5:$A$327,A282,SKUs!$I$5:$I$327,C282,SKUs!$H$5:$H$327,"PR")</f>
        <v>1</v>
      </c>
    </row>
    <row r="283" customFormat="false" ht="15" hidden="false" customHeight="false" outlineLevel="0" collapsed="false">
      <c r="A283" s="17" t="s">
        <v>1287</v>
      </c>
      <c r="B283" s="17" t="s">
        <v>1732</v>
      </c>
      <c r="C283" s="27" t="s">
        <v>782</v>
      </c>
      <c r="D283" s="18" t="s">
        <v>1305</v>
      </c>
      <c r="E283" s="29" t="s">
        <v>6</v>
      </c>
      <c r="F283" s="18" t="s">
        <v>1733</v>
      </c>
      <c r="G283" s="17" t="n">
        <f aca="false">COUNTIFS(SKUs!$A$5:$A$327,A283,SKUs!$I$5:$I$327,C283,SKUs!$H$5:$H$327,"PR")</f>
        <v>1</v>
      </c>
    </row>
    <row r="284" customFormat="false" ht="15" hidden="false" customHeight="false" outlineLevel="0" collapsed="false">
      <c r="A284" s="17" t="s">
        <v>1287</v>
      </c>
      <c r="B284" s="17" t="s">
        <v>1732</v>
      </c>
      <c r="C284" s="27" t="s">
        <v>1070</v>
      </c>
      <c r="D284" s="18" t="s">
        <v>1310</v>
      </c>
      <c r="E284" s="29" t="s">
        <v>6</v>
      </c>
      <c r="F284" s="18" t="s">
        <v>1733</v>
      </c>
      <c r="G284" s="17" t="n">
        <f aca="false">COUNTIFS(SKUs!$A$5:$A$327,A284,SKUs!$I$5:$I$327,C284,SKUs!$H$5:$H$327,"PR")</f>
        <v>1</v>
      </c>
    </row>
    <row r="285" customFormat="false" ht="15" hidden="false" customHeight="false" outlineLevel="0" collapsed="false">
      <c r="A285" s="17" t="s">
        <v>1287</v>
      </c>
      <c r="B285" s="17" t="s">
        <v>1732</v>
      </c>
      <c r="C285" s="27" t="s">
        <v>1102</v>
      </c>
      <c r="D285" s="18" t="s">
        <v>1313</v>
      </c>
      <c r="E285" s="29" t="s">
        <v>6</v>
      </c>
      <c r="F285" s="18" t="s">
        <v>1733</v>
      </c>
      <c r="G285" s="17" t="n">
        <f aca="false">COUNTIFS(SKUs!$A$5:$A$327,A285,SKUs!$I$5:$I$327,C285,SKUs!$H$5:$H$327,"PR")</f>
        <v>1</v>
      </c>
    </row>
    <row r="286" customFormat="false" ht="15" hidden="false" customHeight="false" outlineLevel="0" collapsed="false">
      <c r="A286" s="17" t="s">
        <v>1287</v>
      </c>
      <c r="B286" s="17" t="s">
        <v>1732</v>
      </c>
      <c r="C286" s="27" t="s">
        <v>1317</v>
      </c>
      <c r="D286" s="18" t="s">
        <v>1316</v>
      </c>
      <c r="E286" s="29" t="s">
        <v>6</v>
      </c>
      <c r="F286" s="18" t="s">
        <v>1733</v>
      </c>
      <c r="G286" s="17" t="n">
        <f aca="false">COUNTIFS(SKUs!$A$5:$A$327,A286,SKUs!$I$5:$I$327,C286,SKUs!$H$5:$H$327,"PR")</f>
        <v>1</v>
      </c>
    </row>
    <row r="287" customFormat="false" ht="15" hidden="false" customHeight="false" outlineLevel="0" collapsed="false">
      <c r="A287" s="17" t="s">
        <v>1287</v>
      </c>
      <c r="B287" s="17" t="s">
        <v>1732</v>
      </c>
      <c r="C287" s="27" t="s">
        <v>468</v>
      </c>
      <c r="D287" s="18" t="s">
        <v>1320</v>
      </c>
      <c r="E287" s="29" t="s">
        <v>6</v>
      </c>
      <c r="F287" s="18" t="s">
        <v>1733</v>
      </c>
      <c r="G287" s="17" t="n">
        <f aca="false">COUNTIFS(SKUs!$A$5:$A$327,A287,SKUs!$I$5:$I$327,C287,SKUs!$H$5:$H$327,"PR")</f>
        <v>1</v>
      </c>
    </row>
    <row r="288" customFormat="false" ht="15" hidden="false" customHeight="false" outlineLevel="0" collapsed="false">
      <c r="A288" s="17" t="s">
        <v>1287</v>
      </c>
      <c r="B288" s="17" t="s">
        <v>1734</v>
      </c>
      <c r="C288" s="27" t="s">
        <v>220</v>
      </c>
      <c r="D288" s="18" t="s">
        <v>1324</v>
      </c>
      <c r="E288" s="29" t="s">
        <v>6</v>
      </c>
      <c r="F288" s="18" t="s">
        <v>1733</v>
      </c>
      <c r="G288" s="17" t="n">
        <f aca="false">COUNTIFS(SKUs!$A$5:$A$327,A288,SKUs!$I$5:$I$327,C288,SKUs!$H$5:$H$327,"SE")</f>
        <v>1</v>
      </c>
    </row>
    <row r="289" customFormat="false" ht="15" hidden="false" customHeight="false" outlineLevel="0" collapsed="false">
      <c r="A289" s="17" t="s">
        <v>1287</v>
      </c>
      <c r="B289" s="17" t="s">
        <v>1734</v>
      </c>
      <c r="C289" s="27" t="s">
        <v>225</v>
      </c>
      <c r="D289" s="18" t="s">
        <v>1329</v>
      </c>
      <c r="E289" s="29" t="s">
        <v>6</v>
      </c>
      <c r="F289" s="18" t="s">
        <v>1733</v>
      </c>
      <c r="G289" s="17" t="n">
        <f aca="false">COUNTIFS(SKUs!$A$5:$A$327,A289,SKUs!$I$5:$I$327,C289,SKUs!$H$5:$H$327,"SE")</f>
        <v>1</v>
      </c>
    </row>
    <row r="290" customFormat="false" ht="15" hidden="false" customHeight="false" outlineLevel="0" collapsed="false">
      <c r="A290" s="17" t="s">
        <v>1287</v>
      </c>
      <c r="B290" s="17" t="s">
        <v>1732</v>
      </c>
      <c r="C290" s="27" t="s">
        <v>187</v>
      </c>
      <c r="D290" s="18" t="s">
        <v>1332</v>
      </c>
      <c r="E290" s="29" t="s">
        <v>6</v>
      </c>
      <c r="F290" s="18" t="s">
        <v>1733</v>
      </c>
      <c r="G290" s="17" t="n">
        <f aca="false">COUNTIFS(SKUs!$A$5:$A$327,A290,SKUs!$I$5:$I$327,C290,SKUs!$H$5:$H$327,"PR")</f>
        <v>1</v>
      </c>
    </row>
    <row r="291" customFormat="false" ht="15" hidden="false" customHeight="false" outlineLevel="0" collapsed="false">
      <c r="A291" s="17" t="s">
        <v>1287</v>
      </c>
      <c r="B291" s="17" t="s">
        <v>1732</v>
      </c>
      <c r="C291" s="27" t="s">
        <v>205</v>
      </c>
      <c r="D291" s="18" t="s">
        <v>1335</v>
      </c>
      <c r="E291" s="29" t="s">
        <v>6</v>
      </c>
      <c r="F291" s="18" t="s">
        <v>1733</v>
      </c>
      <c r="G291" s="17" t="n">
        <f aca="false">COUNTIFS(SKUs!$A$5:$A$327,A291,SKUs!$I$5:$I$327,C291,SKUs!$H$5:$H$327,"PR")</f>
        <v>1</v>
      </c>
    </row>
    <row r="292" customFormat="false" ht="15" hidden="false" customHeight="false" outlineLevel="0" collapsed="false">
      <c r="A292" s="17" t="s">
        <v>1287</v>
      </c>
      <c r="B292" s="17" t="s">
        <v>1732</v>
      </c>
      <c r="C292" s="27" t="s">
        <v>115</v>
      </c>
      <c r="D292" s="18" t="s">
        <v>1338</v>
      </c>
      <c r="E292" s="29" t="s">
        <v>6</v>
      </c>
      <c r="F292" s="18" t="s">
        <v>1733</v>
      </c>
      <c r="G292" s="17" t="n">
        <f aca="false">COUNTIFS(SKUs!$A$5:$A$327,A292,SKUs!$I$5:$I$327,C292,SKUs!$H$5:$H$327,"PR")</f>
        <v>1</v>
      </c>
    </row>
    <row r="293" customFormat="false" ht="15" hidden="false" customHeight="false" outlineLevel="0" collapsed="false">
      <c r="A293" s="17" t="s">
        <v>1287</v>
      </c>
      <c r="B293" s="17" t="s">
        <v>1732</v>
      </c>
      <c r="C293" s="27" t="s">
        <v>174</v>
      </c>
      <c r="D293" s="18" t="s">
        <v>1341</v>
      </c>
      <c r="E293" s="29" t="s">
        <v>6</v>
      </c>
      <c r="F293" s="18" t="s">
        <v>1733</v>
      </c>
      <c r="G293" s="17" t="n">
        <f aca="false">COUNTIFS(SKUs!$A$5:$A$327,A293,SKUs!$I$5:$I$327,C293,SKUs!$H$5:$H$327,"PR")</f>
        <v>1</v>
      </c>
    </row>
    <row r="294" customFormat="false" ht="15" hidden="false" customHeight="false" outlineLevel="0" collapsed="false">
      <c r="A294" s="17" t="s">
        <v>1287</v>
      </c>
      <c r="B294" s="17" t="s">
        <v>1732</v>
      </c>
      <c r="C294" s="27" t="s">
        <v>1345</v>
      </c>
      <c r="D294" s="18" t="s">
        <v>1344</v>
      </c>
      <c r="E294" s="29" t="s">
        <v>6</v>
      </c>
      <c r="F294" s="18" t="s">
        <v>1733</v>
      </c>
      <c r="G294" s="17" t="n">
        <f aca="false">COUNTIFS(SKUs!$A$5:$A$327,A294,SKUs!$I$5:$I$327,C294,SKUs!$H$5:$H$327,"PR")</f>
        <v>1</v>
      </c>
    </row>
    <row r="295" customFormat="false" ht="15" hidden="false" customHeight="false" outlineLevel="0" collapsed="false">
      <c r="A295" s="17" t="s">
        <v>1287</v>
      </c>
      <c r="B295" s="17" t="s">
        <v>1732</v>
      </c>
      <c r="C295" s="27" t="s">
        <v>1349</v>
      </c>
      <c r="D295" s="18" t="s">
        <v>1348</v>
      </c>
      <c r="E295" s="29" t="s">
        <v>6</v>
      </c>
      <c r="F295" s="18" t="s">
        <v>1733</v>
      </c>
      <c r="G295" s="17" t="n">
        <f aca="false">COUNTIFS(SKUs!$A$5:$A$327,A295,SKUs!$I$5:$I$327,C295,SKUs!$H$5:$H$327,"PR")</f>
        <v>1</v>
      </c>
    </row>
    <row r="296" customFormat="false" ht="15" hidden="false" customHeight="false" outlineLevel="0" collapsed="false">
      <c r="A296" s="17" t="s">
        <v>1287</v>
      </c>
      <c r="B296" s="17" t="s">
        <v>1732</v>
      </c>
      <c r="C296" s="27" t="s">
        <v>1353</v>
      </c>
      <c r="D296" s="18" t="s">
        <v>1352</v>
      </c>
      <c r="E296" s="29" t="s">
        <v>6</v>
      </c>
      <c r="F296" s="18" t="s">
        <v>1733</v>
      </c>
      <c r="G296" s="17" t="n">
        <f aca="false">COUNTIFS(SKUs!$A$5:$A$327,A296,SKUs!$I$5:$I$327,C296,SKUs!$H$5:$H$327,"PR")</f>
        <v>1</v>
      </c>
    </row>
    <row r="297" customFormat="false" ht="15" hidden="false" customHeight="false" outlineLevel="0" collapsed="false">
      <c r="A297" s="17" t="s">
        <v>1287</v>
      </c>
      <c r="B297" s="17" t="s">
        <v>1732</v>
      </c>
      <c r="C297" s="27" t="s">
        <v>1357</v>
      </c>
      <c r="D297" s="18" t="s">
        <v>1356</v>
      </c>
      <c r="E297" s="29" t="s">
        <v>6</v>
      </c>
      <c r="F297" s="18" t="s">
        <v>1733</v>
      </c>
      <c r="G297" s="17" t="n">
        <f aca="false">COUNTIFS(SKUs!$A$5:$A$327,A297,SKUs!$I$5:$I$327,C297,SKUs!$H$5:$H$327,"PR")</f>
        <v>1</v>
      </c>
    </row>
    <row r="298" customFormat="false" ht="15" hidden="false" customHeight="false" outlineLevel="0" collapsed="false">
      <c r="A298" s="17" t="s">
        <v>1287</v>
      </c>
      <c r="B298" s="17" t="s">
        <v>1734</v>
      </c>
      <c r="C298" s="27" t="s">
        <v>255</v>
      </c>
      <c r="D298" s="18" t="s">
        <v>1360</v>
      </c>
      <c r="E298" s="29" t="s">
        <v>6</v>
      </c>
      <c r="F298" s="18" t="s">
        <v>1733</v>
      </c>
      <c r="G298" s="17" t="n">
        <f aca="false">COUNTIFS(SKUs!$A$5:$A$327,A298,SKUs!$I$5:$I$327,C298,SKUs!$H$5:$H$327,"SE")</f>
        <v>1</v>
      </c>
    </row>
    <row r="299" customFormat="false" ht="15" hidden="false" customHeight="false" outlineLevel="0" collapsed="false">
      <c r="A299" s="17" t="s">
        <v>1287</v>
      </c>
      <c r="B299" s="17" t="s">
        <v>1734</v>
      </c>
      <c r="C299" s="27" t="s">
        <v>210</v>
      </c>
      <c r="D299" s="18" t="s">
        <v>1366</v>
      </c>
      <c r="E299" s="29" t="s">
        <v>6</v>
      </c>
      <c r="F299" s="18" t="s">
        <v>1733</v>
      </c>
      <c r="G299" s="17" t="n">
        <f aca="false">COUNTIFS(SKUs!$A$5:$A$327,A299,SKUs!$I$5:$I$327,C299,SKUs!$H$5:$H$327,"SE")</f>
        <v>1</v>
      </c>
    </row>
    <row r="300" customFormat="false" ht="15" hidden="false" customHeight="false" outlineLevel="0" collapsed="false">
      <c r="A300" s="17" t="s">
        <v>1287</v>
      </c>
      <c r="B300" s="17" t="s">
        <v>1734</v>
      </c>
      <c r="C300" s="27" t="s">
        <v>474</v>
      </c>
      <c r="D300" s="18" t="s">
        <v>1369</v>
      </c>
      <c r="E300" s="29" t="s">
        <v>6</v>
      </c>
      <c r="F300" s="18" t="s">
        <v>1733</v>
      </c>
      <c r="G300" s="17" t="n">
        <f aca="false">COUNTIFS(SKUs!$A$5:$A$327,A300,SKUs!$I$5:$I$327,C300,SKUs!$H$5:$H$327,"SE")</f>
        <v>1</v>
      </c>
    </row>
    <row r="301" customFormat="false" ht="15" hidden="false" customHeight="false" outlineLevel="0" collapsed="false">
      <c r="A301" s="17" t="s">
        <v>1287</v>
      </c>
      <c r="B301" s="17" t="s">
        <v>1732</v>
      </c>
      <c r="C301" s="27" t="s">
        <v>502</v>
      </c>
      <c r="D301" s="18" t="s">
        <v>1373</v>
      </c>
      <c r="E301" s="29" t="s">
        <v>6</v>
      </c>
      <c r="F301" s="18" t="s">
        <v>1733</v>
      </c>
      <c r="G301" s="17" t="n">
        <f aca="false">COUNTIFS(SKUs!$A$5:$A$327,A301,SKUs!$I$5:$I$327,C301,SKUs!$H$5:$H$327,"PR")</f>
        <v>1</v>
      </c>
    </row>
    <row r="302" customFormat="false" ht="15" hidden="false" customHeight="false" outlineLevel="0" collapsed="false">
      <c r="A302" s="17" t="s">
        <v>1287</v>
      </c>
      <c r="B302" s="17" t="s">
        <v>1732</v>
      </c>
      <c r="C302" s="27" t="s">
        <v>729</v>
      </c>
      <c r="D302" s="18" t="s">
        <v>1376</v>
      </c>
      <c r="E302" s="29" t="s">
        <v>6</v>
      </c>
      <c r="F302" s="18" t="s">
        <v>1733</v>
      </c>
      <c r="G302" s="17" t="n">
        <f aca="false">COUNTIFS(SKUs!$A$5:$A$327,A302,SKUs!$I$5:$I$327,C302,SKUs!$H$5:$H$327,"PR")</f>
        <v>1</v>
      </c>
    </row>
    <row r="303" customFormat="false" ht="15" hidden="false" customHeight="false" outlineLevel="0" collapsed="false">
      <c r="A303" s="17" t="s">
        <v>1287</v>
      </c>
      <c r="B303" s="17" t="s">
        <v>1732</v>
      </c>
      <c r="C303" s="27" t="s">
        <v>777</v>
      </c>
      <c r="D303" s="18" t="s">
        <v>1380</v>
      </c>
      <c r="E303" s="29" t="s">
        <v>6</v>
      </c>
      <c r="F303" s="18" t="s">
        <v>1733</v>
      </c>
      <c r="G303" s="17" t="n">
        <f aca="false">COUNTIFS(SKUs!$A$5:$A$327,A303,SKUs!$I$5:$I$327,C303,SKUs!$H$5:$H$327,"PR")</f>
        <v>1</v>
      </c>
    </row>
    <row r="304" customFormat="false" ht="15" hidden="false" customHeight="false" outlineLevel="0" collapsed="false">
      <c r="A304" s="17" t="s">
        <v>1287</v>
      </c>
      <c r="B304" s="17" t="s">
        <v>1732</v>
      </c>
      <c r="C304" s="27" t="s">
        <v>1384</v>
      </c>
      <c r="D304" s="18" t="s">
        <v>1383</v>
      </c>
      <c r="E304" s="29" t="s">
        <v>6</v>
      </c>
      <c r="F304" s="18" t="s">
        <v>1733</v>
      </c>
      <c r="G304" s="17" t="n">
        <f aca="false">COUNTIFS(SKUs!$A$5:$A$327,A304,SKUs!$I$5:$I$327,C304,SKUs!$H$5:$H$327,"PR")</f>
        <v>1</v>
      </c>
    </row>
    <row r="305" customFormat="false" ht="15" hidden="false" customHeight="false" outlineLevel="0" collapsed="false">
      <c r="A305" s="17" t="s">
        <v>1287</v>
      </c>
      <c r="B305" s="17" t="s">
        <v>1732</v>
      </c>
      <c r="C305" s="27" t="s">
        <v>1388</v>
      </c>
      <c r="D305" s="18" t="s">
        <v>1387</v>
      </c>
      <c r="E305" s="29" t="s">
        <v>6</v>
      </c>
      <c r="F305" s="18" t="s">
        <v>1733</v>
      </c>
      <c r="G305" s="17" t="n">
        <f aca="false">COUNTIFS(SKUs!$A$5:$A$327,A305,SKUs!$I$5:$I$327,C305,SKUs!$H$5:$H$327,"PR")</f>
        <v>1</v>
      </c>
    </row>
    <row r="306" customFormat="false" ht="15" hidden="false" customHeight="false" outlineLevel="0" collapsed="false">
      <c r="A306" s="17" t="s">
        <v>1287</v>
      </c>
      <c r="B306" s="17" t="s">
        <v>1732</v>
      </c>
      <c r="C306" s="27" t="s">
        <v>1392</v>
      </c>
      <c r="D306" s="18" t="s">
        <v>1391</v>
      </c>
      <c r="E306" s="29" t="s">
        <v>6</v>
      </c>
      <c r="F306" s="18" t="s">
        <v>1733</v>
      </c>
      <c r="G306" s="17" t="n">
        <f aca="false">COUNTIFS(SKUs!$A$5:$A$327,A306,SKUs!$I$5:$I$327,C306,SKUs!$H$5:$H$327,"PR")</f>
        <v>1</v>
      </c>
    </row>
    <row r="307" customFormat="false" ht="15" hidden="false" customHeight="false" outlineLevel="0" collapsed="false">
      <c r="A307" s="17" t="s">
        <v>1287</v>
      </c>
      <c r="B307" s="17" t="s">
        <v>1732</v>
      </c>
      <c r="C307" s="27" t="s">
        <v>1396</v>
      </c>
      <c r="D307" s="18" t="s">
        <v>1395</v>
      </c>
      <c r="E307" s="29" t="s">
        <v>6</v>
      </c>
      <c r="F307" s="18" t="s">
        <v>1733</v>
      </c>
      <c r="G307" s="17" t="n">
        <f aca="false">COUNTIFS(SKUs!$A$5:$A$327,A307,SKUs!$I$5:$I$327,C307,SKUs!$H$5:$H$327,"PR")</f>
        <v>1</v>
      </c>
    </row>
    <row r="308" customFormat="false" ht="15" hidden="false" customHeight="false" outlineLevel="0" collapsed="false">
      <c r="A308" s="17" t="s">
        <v>1287</v>
      </c>
      <c r="B308" s="17" t="s">
        <v>1732</v>
      </c>
      <c r="C308" s="27" t="s">
        <v>1400</v>
      </c>
      <c r="D308" s="18" t="s">
        <v>1399</v>
      </c>
      <c r="E308" s="29" t="s">
        <v>6</v>
      </c>
      <c r="F308" s="18" t="s">
        <v>1733</v>
      </c>
      <c r="G308" s="17" t="n">
        <f aca="false">COUNTIFS(SKUs!$A$5:$A$327,A308,SKUs!$I$5:$I$327,C308,SKUs!$H$5:$H$327,"PR")</f>
        <v>1</v>
      </c>
    </row>
    <row r="309" customFormat="false" ht="15" hidden="false" customHeight="false" outlineLevel="0" collapsed="false">
      <c r="A309" s="17" t="s">
        <v>1287</v>
      </c>
      <c r="B309" s="17" t="s">
        <v>1732</v>
      </c>
      <c r="C309" s="27" t="s">
        <v>1404</v>
      </c>
      <c r="D309" s="18" t="s">
        <v>1403</v>
      </c>
      <c r="E309" s="29" t="s">
        <v>6</v>
      </c>
      <c r="F309" s="18" t="s">
        <v>1733</v>
      </c>
      <c r="G309" s="17" t="n">
        <f aca="false">COUNTIFS(SKUs!$A$5:$A$327,A309,SKUs!$I$5:$I$327,C309,SKUs!$H$5:$H$327,"PR")</f>
        <v>1</v>
      </c>
    </row>
    <row r="310" customFormat="false" ht="15" hidden="false" customHeight="false" outlineLevel="0" collapsed="false">
      <c r="A310" s="17" t="s">
        <v>1287</v>
      </c>
      <c r="B310" s="17" t="s">
        <v>1732</v>
      </c>
      <c r="C310" s="27" t="s">
        <v>1408</v>
      </c>
      <c r="D310" s="18" t="s">
        <v>1407</v>
      </c>
      <c r="E310" s="29" t="s">
        <v>6</v>
      </c>
      <c r="F310" s="18" t="s">
        <v>1733</v>
      </c>
      <c r="G310" s="17" t="n">
        <f aca="false">COUNTIFS(SKUs!$A$5:$A$327,A310,SKUs!$I$5:$I$327,C310,SKUs!$H$5:$H$327,"PR")</f>
        <v>1</v>
      </c>
    </row>
    <row r="311" customFormat="false" ht="15" hidden="false" customHeight="false" outlineLevel="0" collapsed="false">
      <c r="A311" s="17" t="s">
        <v>1287</v>
      </c>
      <c r="B311" s="17" t="s">
        <v>1734</v>
      </c>
      <c r="C311" s="27" t="s">
        <v>108</v>
      </c>
      <c r="D311" s="18" t="s">
        <v>1411</v>
      </c>
      <c r="E311" s="29" t="s">
        <v>6</v>
      </c>
      <c r="F311" s="18" t="s">
        <v>1733</v>
      </c>
      <c r="G311" s="17" t="n">
        <f aca="false">COUNTIFS(SKUs!$A$5:$A$327,A311,SKUs!$I$5:$I$327,C311,SKUs!$H$5:$H$327,"SE")</f>
        <v>1</v>
      </c>
    </row>
    <row r="312" customFormat="false" ht="15" hidden="false" customHeight="false" outlineLevel="0" collapsed="false">
      <c r="A312" s="17" t="s">
        <v>1287</v>
      </c>
      <c r="B312" s="17" t="s">
        <v>1732</v>
      </c>
      <c r="C312" s="27" t="s">
        <v>1416</v>
      </c>
      <c r="D312" s="18" t="s">
        <v>1415</v>
      </c>
      <c r="E312" s="29" t="s">
        <v>6</v>
      </c>
      <c r="F312" s="18" t="s">
        <v>1733</v>
      </c>
      <c r="G312" s="17" t="n">
        <f aca="false">COUNTIFS(SKUs!$A$5:$A$327,A312,SKUs!$I$5:$I$327,C312,SKUs!$H$5:$H$327,"PR")</f>
        <v>1</v>
      </c>
    </row>
    <row r="313" customFormat="false" ht="15" hidden="false" customHeight="false" outlineLevel="0" collapsed="false">
      <c r="A313" s="17" t="s">
        <v>1287</v>
      </c>
      <c r="B313" s="17" t="s">
        <v>1732</v>
      </c>
      <c r="C313" s="27" t="s">
        <v>1420</v>
      </c>
      <c r="D313" s="18" t="s">
        <v>1419</v>
      </c>
      <c r="E313" s="29" t="s">
        <v>6</v>
      </c>
      <c r="F313" s="18" t="s">
        <v>1733</v>
      </c>
      <c r="G313" s="17" t="n">
        <f aca="false">COUNTIFS(SKUs!$A$5:$A$327,A313,SKUs!$I$5:$I$327,C313,SKUs!$H$5:$H$327,"PR")</f>
        <v>1</v>
      </c>
    </row>
    <row r="314" customFormat="false" ht="15" hidden="false" customHeight="false" outlineLevel="0" collapsed="false">
      <c r="A314" s="17" t="s">
        <v>1287</v>
      </c>
      <c r="B314" s="17" t="s">
        <v>1735</v>
      </c>
      <c r="C314" s="27" t="s">
        <v>1736</v>
      </c>
      <c r="D314" s="18" t="s">
        <v>1737</v>
      </c>
      <c r="E314" s="28" t="s">
        <v>1541</v>
      </c>
      <c r="F314" s="18" t="s">
        <v>1657</v>
      </c>
      <c r="G314" s="17" t="n">
        <f aca="false">COUNTIFS(SKUs!$A$5:$A$327,A314,SKUs!$J$5:$J$327,C314)</f>
        <v>0</v>
      </c>
    </row>
    <row r="315" customFormat="false" ht="15" hidden="false" customHeight="false" outlineLevel="0" collapsed="false">
      <c r="A315" s="17" t="s">
        <v>1287</v>
      </c>
      <c r="B315" s="17" t="s">
        <v>1735</v>
      </c>
      <c r="C315" s="27" t="s">
        <v>1738</v>
      </c>
      <c r="D315" s="18" t="s">
        <v>1739</v>
      </c>
      <c r="E315" s="28" t="s">
        <v>1541</v>
      </c>
      <c r="F315" s="18" t="s">
        <v>1657</v>
      </c>
      <c r="G315" s="17" t="n">
        <f aca="false">COUNTIFS(SKUs!$A$5:$A$327,A315,SKUs!$J$5:$J$327,C315)</f>
        <v>0</v>
      </c>
    </row>
    <row r="316" customFormat="false" ht="15" hidden="false" customHeight="false" outlineLevel="0" collapsed="false">
      <c r="A316" s="17" t="s">
        <v>1287</v>
      </c>
      <c r="B316" s="17" t="s">
        <v>1735</v>
      </c>
      <c r="C316" s="27" t="s">
        <v>1740</v>
      </c>
      <c r="D316" s="18" t="s">
        <v>1741</v>
      </c>
      <c r="E316" s="28" t="s">
        <v>1541</v>
      </c>
      <c r="F316" s="18" t="s">
        <v>1657</v>
      </c>
      <c r="G316" s="17" t="n">
        <f aca="false">COUNTIFS(SKUs!$A$5:$A$327,A316,SKUs!$J$5:$J$327,C316)</f>
        <v>0</v>
      </c>
    </row>
    <row r="317" customFormat="false" ht="15" hidden="false" customHeight="false" outlineLevel="0" collapsed="false">
      <c r="A317" s="17" t="s">
        <v>1287</v>
      </c>
      <c r="B317" s="17" t="s">
        <v>1735</v>
      </c>
      <c r="C317" s="27" t="s">
        <v>1370</v>
      </c>
      <c r="D317" s="18" t="s">
        <v>1742</v>
      </c>
      <c r="E317" s="28" t="s">
        <v>1541</v>
      </c>
      <c r="F317" s="18" t="s">
        <v>1743</v>
      </c>
      <c r="G317" s="17" t="n">
        <f aca="false">COUNTIFS(SKUs!$A$5:$A$327,A317,SKUs!$J$5:$J$327,C317)</f>
        <v>1</v>
      </c>
    </row>
  </sheetData>
  <autoFilter ref="A4:G3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6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4" t="s">
        <v>1744</v>
      </c>
    </row>
    <row r="2" customFormat="false" ht="15" hidden="false" customHeight="false" outlineLevel="0" collapsed="false">
      <c r="A2" s="2" t="s">
        <v>1745</v>
      </c>
    </row>
    <row r="4" customFormat="false" ht="31.5" hidden="false" customHeight="true" outlineLevel="0" collapsed="false">
      <c r="A4" s="16" t="s">
        <v>1746</v>
      </c>
      <c r="B4" s="16" t="s">
        <v>3</v>
      </c>
      <c r="C4" s="16" t="s">
        <v>1747</v>
      </c>
      <c r="D4" s="16" t="s">
        <v>1748</v>
      </c>
      <c r="E4" s="16" t="s">
        <v>1749</v>
      </c>
      <c r="F4" s="16" t="s">
        <v>50</v>
      </c>
    </row>
    <row r="5" customFormat="false" ht="15" hidden="false" customHeight="false" outlineLevel="0" collapsed="false">
      <c r="A5" s="18" t="n">
        <v>1</v>
      </c>
      <c r="B5" s="18" t="s">
        <v>51</v>
      </c>
      <c r="C5" s="30" t="s">
        <v>1750</v>
      </c>
      <c r="D5" s="18" t="s">
        <v>1751</v>
      </c>
      <c r="E5" s="18" t="s">
        <v>1752</v>
      </c>
      <c r="F5" s="18"/>
    </row>
    <row r="6" customFormat="false" ht="23.85" hidden="false" customHeight="false" outlineLevel="0" collapsed="false">
      <c r="A6" s="18" t="n">
        <v>2</v>
      </c>
      <c r="B6" s="18" t="s">
        <v>51</v>
      </c>
      <c r="C6" s="30" t="s">
        <v>1753</v>
      </c>
      <c r="D6" s="18" t="s">
        <v>1754</v>
      </c>
      <c r="E6" s="18" t="s">
        <v>1755</v>
      </c>
      <c r="F6" s="18"/>
    </row>
    <row r="7" customFormat="false" ht="15" hidden="false" customHeight="false" outlineLevel="0" collapsed="false">
      <c r="A7" s="18" t="n">
        <v>3</v>
      </c>
      <c r="B7" s="18" t="s">
        <v>51</v>
      </c>
      <c r="C7" s="30" t="s">
        <v>1756</v>
      </c>
      <c r="D7" s="18" t="s">
        <v>1757</v>
      </c>
      <c r="E7" s="18" t="s">
        <v>1758</v>
      </c>
      <c r="F7" s="18"/>
    </row>
    <row r="8" customFormat="false" ht="23.85" hidden="false" customHeight="false" outlineLevel="0" collapsed="false">
      <c r="A8" s="18" t="n">
        <v>4</v>
      </c>
      <c r="B8" s="18" t="s">
        <v>51</v>
      </c>
      <c r="C8" s="30" t="s">
        <v>1759</v>
      </c>
      <c r="D8" s="18" t="s">
        <v>1760</v>
      </c>
      <c r="E8" s="18" t="s">
        <v>1761</v>
      </c>
      <c r="F8" s="18"/>
    </row>
    <row r="9" customFormat="false" ht="23.85" hidden="false" customHeight="false" outlineLevel="0" collapsed="false">
      <c r="A9" s="18" t="n">
        <v>5</v>
      </c>
      <c r="B9" s="18" t="s">
        <v>51</v>
      </c>
      <c r="C9" s="30" t="s">
        <v>1762</v>
      </c>
      <c r="D9" s="18" t="s">
        <v>1763</v>
      </c>
      <c r="E9" s="18" t="s">
        <v>1764</v>
      </c>
      <c r="F9" s="18"/>
    </row>
    <row r="10" customFormat="false" ht="35.05" hidden="false" customHeight="false" outlineLevel="0" collapsed="false">
      <c r="A10" s="18" t="n">
        <v>6</v>
      </c>
      <c r="B10" s="18" t="s">
        <v>51</v>
      </c>
      <c r="C10" s="30" t="s">
        <v>1765</v>
      </c>
      <c r="D10" s="18" t="s">
        <v>1766</v>
      </c>
      <c r="E10" s="18" t="s">
        <v>1767</v>
      </c>
      <c r="F10" s="18"/>
    </row>
    <row r="11" customFormat="false" ht="35.05" hidden="false" customHeight="false" outlineLevel="0" collapsed="false">
      <c r="A11" s="18" t="n">
        <v>7</v>
      </c>
      <c r="B11" s="18" t="s">
        <v>51</v>
      </c>
      <c r="C11" s="30" t="s">
        <v>1768</v>
      </c>
      <c r="D11" s="18" t="s">
        <v>1769</v>
      </c>
      <c r="E11" s="18" t="s">
        <v>1770</v>
      </c>
      <c r="F11" s="18"/>
    </row>
    <row r="12" customFormat="false" ht="23.85" hidden="false" customHeight="false" outlineLevel="0" collapsed="false">
      <c r="A12" s="18" t="n">
        <v>8</v>
      </c>
      <c r="B12" s="18" t="s">
        <v>51</v>
      </c>
      <c r="C12" s="30" t="s">
        <v>1771</v>
      </c>
      <c r="D12" s="18" t="s">
        <v>1772</v>
      </c>
      <c r="E12" s="18" t="s">
        <v>1773</v>
      </c>
      <c r="F12" s="18"/>
    </row>
    <row r="13" customFormat="false" ht="23.85" hidden="false" customHeight="false" outlineLevel="0" collapsed="false">
      <c r="A13" s="18" t="n">
        <v>9</v>
      </c>
      <c r="B13" s="18" t="s">
        <v>51</v>
      </c>
      <c r="C13" s="30" t="s">
        <v>1774</v>
      </c>
      <c r="D13" s="18" t="s">
        <v>1775</v>
      </c>
      <c r="E13" s="18" t="s">
        <v>1776</v>
      </c>
      <c r="F13" s="18"/>
    </row>
    <row r="14" customFormat="false" ht="46.25" hidden="false" customHeight="false" outlineLevel="0" collapsed="false">
      <c r="A14" s="18" t="n">
        <v>10</v>
      </c>
      <c r="B14" s="18" t="s">
        <v>51</v>
      </c>
      <c r="C14" s="30" t="s">
        <v>1777</v>
      </c>
      <c r="D14" s="18" t="s">
        <v>1778</v>
      </c>
      <c r="E14" s="18" t="s">
        <v>1779</v>
      </c>
      <c r="F14" s="18"/>
    </row>
    <row r="15" customFormat="false" ht="46.25" hidden="false" customHeight="false" outlineLevel="0" collapsed="false">
      <c r="A15" s="18" t="n">
        <v>11</v>
      </c>
      <c r="B15" s="18" t="s">
        <v>51</v>
      </c>
      <c r="C15" s="30" t="s">
        <v>1780</v>
      </c>
      <c r="D15" s="18" t="s">
        <v>1781</v>
      </c>
      <c r="E15" s="18" t="s">
        <v>1782</v>
      </c>
      <c r="F15" s="18"/>
    </row>
    <row r="16" customFormat="false" ht="23.85" hidden="false" customHeight="false" outlineLevel="0" collapsed="false">
      <c r="A16" s="18" t="n">
        <v>12</v>
      </c>
      <c r="B16" s="18" t="s">
        <v>51</v>
      </c>
      <c r="C16" s="30" t="s">
        <v>1783</v>
      </c>
      <c r="D16" s="18" t="s">
        <v>1784</v>
      </c>
      <c r="E16" s="18" t="s">
        <v>1785</v>
      </c>
      <c r="F16" s="18"/>
    </row>
    <row r="17" customFormat="false" ht="23.85" hidden="false" customHeight="false" outlineLevel="0" collapsed="false">
      <c r="A17" s="18" t="n">
        <v>13</v>
      </c>
      <c r="B17" s="18" t="s">
        <v>51</v>
      </c>
      <c r="C17" s="30" t="s">
        <v>1786</v>
      </c>
      <c r="D17" s="18" t="s">
        <v>1787</v>
      </c>
      <c r="E17" s="18" t="s">
        <v>1788</v>
      </c>
      <c r="F17" s="18"/>
    </row>
    <row r="18" customFormat="false" ht="23.85" hidden="false" customHeight="false" outlineLevel="0" collapsed="false">
      <c r="A18" s="18" t="n">
        <v>14</v>
      </c>
      <c r="B18" s="18" t="s">
        <v>51</v>
      </c>
      <c r="C18" s="30" t="s">
        <v>1789</v>
      </c>
      <c r="D18" s="18" t="s">
        <v>1790</v>
      </c>
      <c r="E18" s="18" t="s">
        <v>1791</v>
      </c>
      <c r="F18" s="18"/>
    </row>
    <row r="19" customFormat="false" ht="23.85" hidden="false" customHeight="false" outlineLevel="0" collapsed="false">
      <c r="A19" s="18" t="n">
        <v>15</v>
      </c>
      <c r="B19" s="18" t="s">
        <v>51</v>
      </c>
      <c r="C19" s="30" t="s">
        <v>1792</v>
      </c>
      <c r="D19" s="18" t="s">
        <v>1793</v>
      </c>
      <c r="E19" s="18" t="s">
        <v>1794</v>
      </c>
      <c r="F19" s="18"/>
    </row>
    <row r="20" customFormat="false" ht="46.25" hidden="false" customHeight="false" outlineLevel="0" collapsed="false">
      <c r="A20" s="18" t="n">
        <v>16</v>
      </c>
      <c r="B20" s="18" t="s">
        <v>434</v>
      </c>
      <c r="C20" s="30" t="s">
        <v>1795</v>
      </c>
      <c r="D20" s="18" t="s">
        <v>1796</v>
      </c>
      <c r="E20" s="18" t="s">
        <v>1797</v>
      </c>
      <c r="F20" s="18"/>
    </row>
    <row r="21" customFormat="false" ht="35.05" hidden="false" customHeight="false" outlineLevel="0" collapsed="false">
      <c r="A21" s="18" t="n">
        <v>17</v>
      </c>
      <c r="B21" s="18" t="s">
        <v>434</v>
      </c>
      <c r="C21" s="30" t="s">
        <v>1798</v>
      </c>
      <c r="D21" s="18" t="s">
        <v>1799</v>
      </c>
      <c r="E21" s="18" t="s">
        <v>1800</v>
      </c>
      <c r="F21" s="18"/>
    </row>
    <row r="22" customFormat="false" ht="23.85" hidden="false" customHeight="false" outlineLevel="0" collapsed="false">
      <c r="A22" s="18" t="n">
        <v>18</v>
      </c>
      <c r="B22" s="18" t="s">
        <v>434</v>
      </c>
      <c r="C22" s="30" t="s">
        <v>1801</v>
      </c>
      <c r="D22" s="18" t="s">
        <v>1802</v>
      </c>
      <c r="E22" s="18" t="s">
        <v>1803</v>
      </c>
      <c r="F22" s="18"/>
    </row>
    <row r="23" customFormat="false" ht="35.05" hidden="false" customHeight="false" outlineLevel="0" collapsed="false">
      <c r="A23" s="18" t="n">
        <v>19</v>
      </c>
      <c r="B23" s="18" t="s">
        <v>434</v>
      </c>
      <c r="C23" s="30" t="s">
        <v>1804</v>
      </c>
      <c r="D23" s="18" t="s">
        <v>1805</v>
      </c>
      <c r="E23" s="18" t="s">
        <v>1806</v>
      </c>
      <c r="F23" s="18"/>
    </row>
    <row r="24" customFormat="false" ht="15" hidden="false" customHeight="false" outlineLevel="0" collapsed="false">
      <c r="A24" s="18" t="n">
        <v>20</v>
      </c>
      <c r="B24" s="18" t="s">
        <v>434</v>
      </c>
      <c r="C24" s="30" t="s">
        <v>1807</v>
      </c>
      <c r="D24" s="18" t="s">
        <v>1808</v>
      </c>
      <c r="E24" s="18" t="s">
        <v>1809</v>
      </c>
      <c r="F24" s="18"/>
    </row>
    <row r="25" customFormat="false" ht="35.05" hidden="false" customHeight="false" outlineLevel="0" collapsed="false">
      <c r="A25" s="18" t="n">
        <v>21</v>
      </c>
      <c r="B25" s="18" t="s">
        <v>434</v>
      </c>
      <c r="C25" s="30" t="s">
        <v>1810</v>
      </c>
      <c r="D25" s="18" t="s">
        <v>1811</v>
      </c>
      <c r="E25" s="18" t="s">
        <v>1812</v>
      </c>
      <c r="F25" s="18"/>
    </row>
    <row r="26" customFormat="false" ht="23.85" hidden="false" customHeight="false" outlineLevel="0" collapsed="false">
      <c r="A26" s="18" t="n">
        <v>22</v>
      </c>
      <c r="B26" s="18" t="s">
        <v>434</v>
      </c>
      <c r="C26" s="30" t="s">
        <v>1813</v>
      </c>
      <c r="D26" s="18" t="s">
        <v>1814</v>
      </c>
      <c r="E26" s="18" t="s">
        <v>1815</v>
      </c>
      <c r="F26" s="18"/>
    </row>
    <row r="27" customFormat="false" ht="15" hidden="false" customHeight="false" outlineLevel="0" collapsed="false">
      <c r="A27" s="18" t="n">
        <v>23</v>
      </c>
      <c r="B27" s="18" t="s">
        <v>434</v>
      </c>
      <c r="C27" s="30" t="s">
        <v>1816</v>
      </c>
      <c r="D27" s="18" t="s">
        <v>1817</v>
      </c>
      <c r="E27" s="18" t="s">
        <v>1818</v>
      </c>
      <c r="F27" s="18"/>
    </row>
    <row r="28" customFormat="false" ht="15" hidden="false" customHeight="false" outlineLevel="0" collapsed="false">
      <c r="A28" s="18" t="n">
        <v>24</v>
      </c>
      <c r="B28" s="18" t="s">
        <v>434</v>
      </c>
      <c r="C28" s="30" t="s">
        <v>1819</v>
      </c>
      <c r="D28" s="18" t="s">
        <v>1820</v>
      </c>
      <c r="E28" s="18" t="s">
        <v>1821</v>
      </c>
      <c r="F28" s="18"/>
    </row>
    <row r="29" customFormat="false" ht="15" hidden="false" customHeight="false" outlineLevel="0" collapsed="false">
      <c r="A29" s="18" t="n">
        <v>25</v>
      </c>
      <c r="B29" s="18" t="s">
        <v>1287</v>
      </c>
      <c r="C29" s="30" t="s">
        <v>1822</v>
      </c>
      <c r="D29" s="18" t="s">
        <v>1823</v>
      </c>
      <c r="E29" s="18" t="s">
        <v>1824</v>
      </c>
      <c r="F29" s="18"/>
    </row>
    <row r="30" customFormat="false" ht="23.85" hidden="false" customHeight="false" outlineLevel="0" collapsed="false">
      <c r="A30" s="18" t="n">
        <v>26</v>
      </c>
      <c r="B30" s="18" t="s">
        <v>1287</v>
      </c>
      <c r="C30" s="30" t="s">
        <v>1825</v>
      </c>
      <c r="D30" s="18" t="s">
        <v>1826</v>
      </c>
      <c r="E30" s="18" t="s">
        <v>1827</v>
      </c>
      <c r="F30" s="18"/>
    </row>
    <row r="31" customFormat="false" ht="46.25" hidden="false" customHeight="false" outlineLevel="0" collapsed="false">
      <c r="A31" s="18" t="n">
        <v>27</v>
      </c>
      <c r="B31" s="18" t="s">
        <v>1287</v>
      </c>
      <c r="C31" s="30" t="s">
        <v>1828</v>
      </c>
      <c r="D31" s="18" t="s">
        <v>1829</v>
      </c>
      <c r="E31" s="18" t="s">
        <v>1830</v>
      </c>
      <c r="F31" s="18"/>
    </row>
    <row r="32" customFormat="false" ht="15" hidden="false" customHeight="false" outlineLevel="0" collapsed="false">
      <c r="A32" s="18" t="n">
        <v>28</v>
      </c>
      <c r="B32" s="18" t="s">
        <v>1287</v>
      </c>
      <c r="C32" s="30" t="s">
        <v>1831</v>
      </c>
      <c r="D32" s="18" t="s">
        <v>1832</v>
      </c>
      <c r="E32" s="18" t="s">
        <v>1833</v>
      </c>
      <c r="F32" s="18"/>
    </row>
    <row r="33" customFormat="false" ht="23.85" hidden="false" customHeight="false" outlineLevel="0" collapsed="false">
      <c r="A33" s="18" t="n">
        <v>29</v>
      </c>
      <c r="B33" s="18" t="s">
        <v>1834</v>
      </c>
      <c r="C33" s="30" t="s">
        <v>1835</v>
      </c>
      <c r="D33" s="18" t="s">
        <v>1836</v>
      </c>
      <c r="E33" s="18" t="s">
        <v>1837</v>
      </c>
      <c r="F33" s="18"/>
    </row>
    <row r="34" customFormat="false" ht="15" hidden="false" customHeight="false" outlineLevel="0" collapsed="false">
      <c r="A34" s="18" t="n">
        <v>30</v>
      </c>
      <c r="B34" s="18" t="s">
        <v>1838</v>
      </c>
      <c r="C34" s="30" t="s">
        <v>1839</v>
      </c>
      <c r="D34" s="18" t="s">
        <v>1840</v>
      </c>
      <c r="E34" s="18" t="s">
        <v>1841</v>
      </c>
      <c r="F34" s="18"/>
    </row>
    <row r="35" customFormat="false" ht="35.05" hidden="false" customHeight="false" outlineLevel="0" collapsed="false">
      <c r="A35" s="18" t="n">
        <v>31</v>
      </c>
      <c r="B35" s="18" t="s">
        <v>1838</v>
      </c>
      <c r="C35" s="30" t="s">
        <v>1842</v>
      </c>
      <c r="D35" s="18" t="s">
        <v>1843</v>
      </c>
      <c r="E35" s="18" t="s">
        <v>1844</v>
      </c>
      <c r="F35" s="18"/>
    </row>
    <row r="36" customFormat="false" ht="35.05" hidden="false" customHeight="false" outlineLevel="0" collapsed="false">
      <c r="A36" s="18" t="n">
        <v>32</v>
      </c>
      <c r="B36" s="18" t="s">
        <v>1838</v>
      </c>
      <c r="C36" s="30" t="s">
        <v>1845</v>
      </c>
      <c r="D36" s="18" t="s">
        <v>1846</v>
      </c>
      <c r="E36" s="18" t="s">
        <v>1847</v>
      </c>
      <c r="F36" s="18"/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4" t="s">
        <v>1848</v>
      </c>
    </row>
    <row r="2" customFormat="false" ht="15" hidden="false" customHeight="false" outlineLevel="0" collapsed="false">
      <c r="A2" s="2" t="s">
        <v>1849</v>
      </c>
    </row>
    <row r="4" customFormat="false" ht="31.5" hidden="false" customHeight="true" outlineLevel="0" collapsed="false">
      <c r="A4" s="16" t="s">
        <v>1850</v>
      </c>
      <c r="B4" s="16" t="s">
        <v>1851</v>
      </c>
      <c r="C4" s="16" t="s">
        <v>1852</v>
      </c>
    </row>
    <row r="5" customFormat="false" ht="15" hidden="false" customHeight="false" outlineLevel="0" collapsed="false">
      <c r="A5" s="18" t="s">
        <v>1816</v>
      </c>
      <c r="B5" s="18" t="s">
        <v>883</v>
      </c>
      <c r="C5" s="18" t="s">
        <v>1853</v>
      </c>
    </row>
    <row r="6" customFormat="false" ht="15" hidden="false" customHeight="false" outlineLevel="0" collapsed="false">
      <c r="A6" s="18" t="s">
        <v>1854</v>
      </c>
      <c r="B6" s="18" t="s">
        <v>1855</v>
      </c>
      <c r="C6" s="18" t="s">
        <v>1856</v>
      </c>
    </row>
    <row r="7" customFormat="false" ht="15" hidden="false" customHeight="false" outlineLevel="0" collapsed="false">
      <c r="A7" s="18" t="s">
        <v>1854</v>
      </c>
      <c r="B7" s="18" t="s">
        <v>1857</v>
      </c>
      <c r="C7" s="18" t="s">
        <v>1858</v>
      </c>
    </row>
    <row r="8" customFormat="false" ht="15" hidden="false" customHeight="false" outlineLevel="0" collapsed="false">
      <c r="A8" s="18" t="s">
        <v>1854</v>
      </c>
      <c r="B8" s="18" t="s">
        <v>1859</v>
      </c>
      <c r="C8" s="18" t="s">
        <v>1860</v>
      </c>
    </row>
    <row r="9" customFormat="false" ht="15" hidden="false" customHeight="false" outlineLevel="0" collapsed="false">
      <c r="A9" s="18" t="s">
        <v>1854</v>
      </c>
      <c r="B9" s="18" t="s">
        <v>1861</v>
      </c>
      <c r="C9" s="18" t="s">
        <v>1862</v>
      </c>
    </row>
    <row r="10" customFormat="false" ht="23.85" hidden="false" customHeight="false" outlineLevel="0" collapsed="false">
      <c r="A10" s="18" t="s">
        <v>1854</v>
      </c>
      <c r="B10" s="18" t="s">
        <v>1863</v>
      </c>
      <c r="C10" s="18" t="s">
        <v>1864</v>
      </c>
    </row>
    <row r="11" customFormat="false" ht="15" hidden="false" customHeight="false" outlineLevel="0" collapsed="false">
      <c r="A11" s="18" t="s">
        <v>1854</v>
      </c>
      <c r="B11" s="18" t="s">
        <v>1865</v>
      </c>
      <c r="C11" s="18" t="s">
        <v>1866</v>
      </c>
    </row>
    <row r="12" customFormat="false" ht="15" hidden="false" customHeight="false" outlineLevel="0" collapsed="false">
      <c r="A12" s="18" t="s">
        <v>1854</v>
      </c>
      <c r="B12" s="18" t="s">
        <v>1867</v>
      </c>
      <c r="C12" s="18" t="s">
        <v>1868</v>
      </c>
    </row>
    <row r="13" customFormat="false" ht="15" hidden="false" customHeight="false" outlineLevel="0" collapsed="false">
      <c r="A13" s="18" t="s">
        <v>1854</v>
      </c>
      <c r="B13" s="18" t="s">
        <v>1869</v>
      </c>
      <c r="C13" s="18" t="s">
        <v>1870</v>
      </c>
    </row>
    <row r="14" customFormat="false" ht="15" hidden="false" customHeight="false" outlineLevel="0" collapsed="false">
      <c r="A14" s="18" t="s">
        <v>1854</v>
      </c>
      <c r="B14" s="18" t="s">
        <v>1871</v>
      </c>
      <c r="C14" s="18" t="s">
        <v>1872</v>
      </c>
    </row>
    <row r="15" customFormat="false" ht="15" hidden="false" customHeight="false" outlineLevel="0" collapsed="false">
      <c r="A15" s="18" t="s">
        <v>1854</v>
      </c>
      <c r="B15" s="18" t="s">
        <v>1873</v>
      </c>
      <c r="C15" s="18" t="s">
        <v>1874</v>
      </c>
    </row>
    <row r="16" customFormat="false" ht="15" hidden="false" customHeight="false" outlineLevel="0" collapsed="false">
      <c r="A16" s="18" t="s">
        <v>1875</v>
      </c>
      <c r="B16" s="18" t="s">
        <v>1876</v>
      </c>
      <c r="C16" s="18" t="s">
        <v>1877</v>
      </c>
    </row>
    <row r="17" customFormat="false" ht="15" hidden="false" customHeight="false" outlineLevel="0" collapsed="false">
      <c r="A17" s="18" t="s">
        <v>1875</v>
      </c>
      <c r="B17" s="18" t="s">
        <v>1878</v>
      </c>
      <c r="C17" s="18" t="s">
        <v>1879</v>
      </c>
    </row>
    <row r="18" customFormat="false" ht="15" hidden="false" customHeight="false" outlineLevel="0" collapsed="false">
      <c r="A18" s="18" t="s">
        <v>1880</v>
      </c>
      <c r="B18" s="18" t="s">
        <v>1881</v>
      </c>
      <c r="C18" s="18" t="s">
        <v>1882</v>
      </c>
    </row>
    <row r="19" customFormat="false" ht="23.85" hidden="false" customHeight="false" outlineLevel="0" collapsed="false">
      <c r="A19" s="18" t="s">
        <v>1883</v>
      </c>
      <c r="B19" s="18" t="s">
        <v>1884</v>
      </c>
      <c r="C19" s="18" t="s">
        <v>1885</v>
      </c>
    </row>
    <row r="20" customFormat="false" ht="23.85" hidden="false" customHeight="false" outlineLevel="0" collapsed="false">
      <c r="A20" s="18" t="s">
        <v>1886</v>
      </c>
      <c r="B20" s="18" t="s">
        <v>1887</v>
      </c>
      <c r="C20" s="18" t="s">
        <v>1888</v>
      </c>
    </row>
    <row r="21" customFormat="false" ht="15" hidden="false" customHeight="false" outlineLevel="0" collapsed="false">
      <c r="A21" s="18" t="s">
        <v>1889</v>
      </c>
      <c r="B21" s="18" t="s">
        <v>1890</v>
      </c>
      <c r="C21" s="18" t="s">
        <v>1891</v>
      </c>
    </row>
    <row r="22" customFormat="false" ht="15" hidden="false" customHeight="false" outlineLevel="0" collapsed="false">
      <c r="A22" s="18" t="s">
        <v>1892</v>
      </c>
      <c r="B22" s="18" t="s">
        <v>1893</v>
      </c>
      <c r="C22" s="18" t="s">
        <v>1894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2026-10-14T15:32:18Z</dcterms:created>
  <dc:creator>openpyxl</dc:creator>
  <dc:description/>
  <dc:language>en-US</dc:language>
  <cp:lastModifiedBy/>
  <dcterms:modified xsi:type="dcterms:W3CDTF">2026-10-14T15:32:19Z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