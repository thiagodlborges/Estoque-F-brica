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 preço" sheetId="1" state="visible" r:id="rId3"/>
    <sheet name="Resumo" sheetId="2" state="visible" r:id="rId4"/>
  </sheets>
  <definedNames>
    <definedName function="false" hidden="true" localSheetId="0" name="_xlnm._FilterDatabase" vbProcedure="false">'Sem preço'!$A$4:$J$20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<sst xmlns="http://schemas.openxmlformats.org/spreadsheetml/2006/main" count="85" uniqueCount="64">
  <si>
    <t xml:space="preserve">Matérias-primas com estoque positivo e preço zerado</t>
  </si>
  <si>
    <t xml:space="preserve">Posição em 14/10/2026 · Fonte: tabela materiaprima_produtos (Supabase). Critério: estoque_atual &gt; 0, preco_custo = 0 e preco_medio = 0. Colunas Preço de custo / Preço médio (azul, fundo amarelo) são para preenchimento.</t>
  </si>
  <si>
    <t xml:space="preserve">Código</t>
  </si>
  <si>
    <t xml:space="preserve">Produto</t>
  </si>
  <si>
    <t xml:space="preserve">Un.</t>
  </si>
  <si>
    <t xml:space="preserve">Estoque atual</t>
  </si>
  <si>
    <t xml:space="preserve">Preço de custo (R$)</t>
  </si>
  <si>
    <t xml:space="preserve">Preço médio (R$)</t>
  </si>
  <si>
    <t xml:space="preserve">Valor em estoque (R$)</t>
  </si>
  <si>
    <t xml:space="preserve">Nº entradas</t>
  </si>
  <si>
    <t xml:space="preserve">Observação</t>
  </si>
  <si>
    <t xml:space="preserve">Origem</t>
  </si>
  <si>
    <t xml:space="preserve">MP-00002</t>
  </si>
  <si>
    <t xml:space="preserve">Polpa de Açaí Congelado</t>
  </si>
  <si>
    <t xml:space="preserve">Kg</t>
  </si>
  <si>
    <t xml:space="preserve">MP-00006</t>
  </si>
  <si>
    <t xml:space="preserve">Aroma de Guaraná</t>
  </si>
  <si>
    <t xml:space="preserve">MP-00007</t>
  </si>
  <si>
    <t xml:space="preserve">Base creme</t>
  </si>
  <si>
    <t xml:space="preserve">MP-00045</t>
  </si>
  <si>
    <t xml:space="preserve">Granola</t>
  </si>
  <si>
    <t xml:space="preserve">MP-00051</t>
  </si>
  <si>
    <t xml:space="preserve">Leite em pó integral</t>
  </si>
  <si>
    <t xml:space="preserve">Entrada com valor unitário 0</t>
  </si>
  <si>
    <t xml:space="preserve">MP-00061</t>
  </si>
  <si>
    <t xml:space="preserve">Maracujá sem sementes</t>
  </si>
  <si>
    <t xml:space="preserve">MP-00077</t>
  </si>
  <si>
    <t xml:space="preserve">Polidextrose Type II IMP</t>
  </si>
  <si>
    <t xml:space="preserve">MP-00084</t>
  </si>
  <si>
    <t xml:space="preserve">Vinagre</t>
  </si>
  <si>
    <t xml:space="preserve">L</t>
  </si>
  <si>
    <t xml:space="preserve">MP-00088</t>
  </si>
  <si>
    <t xml:space="preserve">Nutty Caramelo Salgado</t>
  </si>
  <si>
    <t xml:space="preserve">MP-00118</t>
  </si>
  <si>
    <t xml:space="preserve">Cacau Callebaut</t>
  </si>
  <si>
    <t xml:space="preserve">Pré-cadastro da planilha de gelato</t>
  </si>
  <si>
    <t xml:space="preserve">MP-00127</t>
  </si>
  <si>
    <t xml:space="preserve">Chocolate (Mocca)</t>
  </si>
  <si>
    <t xml:space="preserve">MP-00128</t>
  </si>
  <si>
    <t xml:space="preserve">Crockolosi Meringa</t>
  </si>
  <si>
    <t xml:space="preserve">Entradas com valor unitário 0</t>
  </si>
  <si>
    <t xml:space="preserve">MP-00169</t>
  </si>
  <si>
    <t xml:space="preserve">Água de coco</t>
  </si>
  <si>
    <t xml:space="preserve">MP-00172</t>
  </si>
  <si>
    <t xml:space="preserve">Coco Seco - fresco em escama</t>
  </si>
  <si>
    <t xml:space="preserve">Sc</t>
  </si>
  <si>
    <t xml:space="preserve">MP-00173</t>
  </si>
  <si>
    <t xml:space="preserve">Stracciatela Caramelo Salgado</t>
  </si>
  <si>
    <t xml:space="preserve">MP-00182</t>
  </si>
  <si>
    <t xml:space="preserve">Palito Hélice - Luna</t>
  </si>
  <si>
    <t xml:space="preserve">Un</t>
  </si>
  <si>
    <t xml:space="preserve">Total de itens</t>
  </si>
  <si>
    <t xml:space="preserve">Nota: o valor em estoque é calculado como Estoque × Preço médio; atualiza ao preencher o preço.</t>
  </si>
  <si>
    <t xml:space="preserve">Resumo</t>
  </si>
  <si>
    <t xml:space="preserve">Matérias-primas cadastradas</t>
  </si>
  <si>
    <t xml:space="preserve">Com estoque positivo</t>
  </si>
  <si>
    <t xml:space="preserve">Com estoque &gt; 0 e preço custo e médio zerados</t>
  </si>
  <si>
    <t xml:space="preserve">% das com estoque</t>
  </si>
  <si>
    <t xml:space="preserve">Caso parcial (apenas preço de custo zerado)</t>
  </si>
  <si>
    <t xml:space="preserve">Estoque</t>
  </si>
  <si>
    <t xml:space="preserve">Preço custo (R$)</t>
  </si>
  <si>
    <t xml:space="preserve">MP-00070</t>
  </si>
  <si>
    <t xml:space="preserve">Texfair ICE 710</t>
  </si>
  <si>
    <t xml:space="preserve">Fonte dos números: consulta ao banco em 14/10/2026 (valores em azul digitados a partir da consulta).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</si>
</sst>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"/>
    <numFmt numFmtId="166" formatCode="#,##0.00;\(#,##0.00\);\-"/>
    <numFmt numFmtId="167" formatCode="0"/>
    <numFmt numFmtId="168" formatCode="General"/>
    <numFmt numFmtId="169" formatCode="0.0%"/>
    <numFmt numFmtId="170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3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s">
        <v>14</v>
      </c>
      <c r="D5" s="6" t="n">
        <v>10</v>
      </c>
      <c r="E5" s="7" t="n">
        <v>0</v>
      </c>
      <c r="F5" s="7" t="n">
        <v>0</v>
      </c>
      <c r="G5" s="8" t="n">
        <f aca="false">D5*F5</f>
        <v>0</v>
      </c>
      <c r="H5" s="5" t="n">
        <v>0</v>
      </c>
      <c r="I5" s="4"/>
      <c r="J5" s="4"/>
    </row>
    <row r="6" customFormat="false" ht="15" hidden="false" customHeight="false" outlineLevel="0" collapsed="false">
      <c r="A6" s="4" t="s">
        <v>15</v>
      </c>
      <c r="B6" s="4" t="s">
        <v>16</v>
      </c>
      <c r="C6" s="5" t="s">
        <v>14</v>
      </c>
      <c r="D6" s="6" t="n">
        <v>30.4</v>
      </c>
      <c r="E6" s="7" t="n">
        <v>0</v>
      </c>
      <c r="F6" s="7" t="n">
        <v>0</v>
      </c>
      <c r="G6" s="8" t="n">
        <f aca="false">D6*F6</f>
        <v>0</v>
      </c>
      <c r="H6" s="5" t="n">
        <v>0</v>
      </c>
      <c r="I6" s="4"/>
      <c r="J6" s="4"/>
    </row>
    <row r="7" customFormat="false" ht="15" hidden="false" customHeight="false" outlineLevel="0" collapsed="false">
      <c r="A7" s="4" t="s">
        <v>17</v>
      </c>
      <c r="B7" s="4" t="s">
        <v>18</v>
      </c>
      <c r="C7" s="5" t="s">
        <v>14</v>
      </c>
      <c r="D7" s="6" t="n">
        <v>4.5</v>
      </c>
      <c r="E7" s="7" t="n">
        <v>0</v>
      </c>
      <c r="F7" s="7" t="n">
        <v>0</v>
      </c>
      <c r="G7" s="8" t="n">
        <f aca="false">D7*F7</f>
        <v>0</v>
      </c>
      <c r="H7" s="5" t="n">
        <v>0</v>
      </c>
      <c r="I7" s="4"/>
      <c r="J7" s="4"/>
    </row>
    <row r="8" customFormat="false" ht="15" hidden="false" customHeight="false" outlineLevel="0" collapsed="false">
      <c r="A8" s="4" t="s">
        <v>19</v>
      </c>
      <c r="B8" s="4" t="s">
        <v>20</v>
      </c>
      <c r="C8" s="5" t="s">
        <v>14</v>
      </c>
      <c r="D8" s="6" t="n">
        <v>1</v>
      </c>
      <c r="E8" s="7" t="n">
        <v>0</v>
      </c>
      <c r="F8" s="7" t="n">
        <v>0</v>
      </c>
      <c r="G8" s="8" t="n">
        <f aca="false">D8*F8</f>
        <v>0</v>
      </c>
      <c r="H8" s="5" t="n">
        <v>0</v>
      </c>
      <c r="I8" s="4"/>
      <c r="J8" s="4"/>
    </row>
    <row r="9" customFormat="false" ht="15" hidden="false" customHeight="false" outlineLevel="0" collapsed="false">
      <c r="A9" s="4" t="s">
        <v>21</v>
      </c>
      <c r="B9" s="4" t="s">
        <v>22</v>
      </c>
      <c r="C9" s="5" t="s">
        <v>14</v>
      </c>
      <c r="D9" s="6" t="n">
        <v>50</v>
      </c>
      <c r="E9" s="7" t="n">
        <v>0</v>
      </c>
      <c r="F9" s="7" t="n">
        <v>0</v>
      </c>
      <c r="G9" s="8" t="n">
        <f aca="false">D9*F9</f>
        <v>0</v>
      </c>
      <c r="H9" s="5" t="n">
        <v>1</v>
      </c>
      <c r="I9" s="4" t="s">
        <v>23</v>
      </c>
      <c r="J9" s="4"/>
    </row>
    <row r="10" customFormat="false" ht="15" hidden="false" customHeight="false" outlineLevel="0" collapsed="false">
      <c r="A10" s="4" t="s">
        <v>24</v>
      </c>
      <c r="B10" s="4" t="s">
        <v>25</v>
      </c>
      <c r="C10" s="5" t="s">
        <v>14</v>
      </c>
      <c r="D10" s="6" t="n">
        <v>23</v>
      </c>
      <c r="E10" s="7" t="n">
        <v>0</v>
      </c>
      <c r="F10" s="7" t="n">
        <v>0</v>
      </c>
      <c r="G10" s="8" t="n">
        <f aca="false">D10*F10</f>
        <v>0</v>
      </c>
      <c r="H10" s="5" t="n">
        <v>0</v>
      </c>
      <c r="I10" s="4"/>
      <c r="J10" s="4"/>
    </row>
    <row r="11" customFormat="false" ht="15" hidden="false" customHeight="false" outlineLevel="0" collapsed="false">
      <c r="A11" s="4" t="s">
        <v>26</v>
      </c>
      <c r="B11" s="4" t="s">
        <v>27</v>
      </c>
      <c r="C11" s="5" t="s">
        <v>14</v>
      </c>
      <c r="D11" s="6" t="n">
        <v>25</v>
      </c>
      <c r="E11" s="7" t="n">
        <v>0</v>
      </c>
      <c r="F11" s="7" t="n">
        <v>0</v>
      </c>
      <c r="G11" s="8" t="n">
        <f aca="false">D11*F11</f>
        <v>0</v>
      </c>
      <c r="H11" s="5" t="n">
        <v>0</v>
      </c>
      <c r="I11" s="4"/>
      <c r="J11" s="4"/>
    </row>
    <row r="12" customFormat="false" ht="15" hidden="false" customHeight="false" outlineLevel="0" collapsed="false">
      <c r="A12" s="4" t="s">
        <v>28</v>
      </c>
      <c r="B12" s="4" t="s">
        <v>29</v>
      </c>
      <c r="C12" s="5" t="s">
        <v>30</v>
      </c>
      <c r="D12" s="6" t="n">
        <v>750</v>
      </c>
      <c r="E12" s="7" t="n">
        <v>0</v>
      </c>
      <c r="F12" s="7" t="n">
        <v>0</v>
      </c>
      <c r="G12" s="8" t="n">
        <f aca="false">D12*F12</f>
        <v>0</v>
      </c>
      <c r="H12" s="5" t="n">
        <v>0</v>
      </c>
      <c r="I12" s="4"/>
      <c r="J12" s="4"/>
    </row>
    <row r="13" customFormat="false" ht="15" hidden="false" customHeight="false" outlineLevel="0" collapsed="false">
      <c r="A13" s="4" t="s">
        <v>31</v>
      </c>
      <c r="B13" s="4" t="s">
        <v>32</v>
      </c>
      <c r="C13" s="5" t="s">
        <v>14</v>
      </c>
      <c r="D13" s="6" t="n">
        <v>8.2</v>
      </c>
      <c r="E13" s="7" t="n">
        <v>0</v>
      </c>
      <c r="F13" s="7" t="n">
        <v>0</v>
      </c>
      <c r="G13" s="8" t="n">
        <f aca="false">D13*F13</f>
        <v>0</v>
      </c>
      <c r="H13" s="5" t="n">
        <v>0</v>
      </c>
      <c r="I13" s="4"/>
      <c r="J13" s="4"/>
    </row>
    <row r="14" customFormat="false" ht="15" hidden="false" customHeight="false" outlineLevel="0" collapsed="false">
      <c r="A14" s="4" t="s">
        <v>33</v>
      </c>
      <c r="B14" s="4" t="s">
        <v>34</v>
      </c>
      <c r="C14" s="5" t="s">
        <v>14</v>
      </c>
      <c r="D14" s="6" t="n">
        <v>75</v>
      </c>
      <c r="E14" s="7" t="n">
        <v>0</v>
      </c>
      <c r="F14" s="7" t="n">
        <v>0</v>
      </c>
      <c r="G14" s="8" t="n">
        <f aca="false">D14*F14</f>
        <v>0</v>
      </c>
      <c r="H14" s="5" t="n">
        <v>1</v>
      </c>
      <c r="I14" s="4" t="s">
        <v>23</v>
      </c>
      <c r="J14" s="4" t="s">
        <v>35</v>
      </c>
    </row>
    <row r="15" customFormat="false" ht="15" hidden="false" customHeight="false" outlineLevel="0" collapsed="false">
      <c r="A15" s="4" t="s">
        <v>36</v>
      </c>
      <c r="B15" s="4" t="s">
        <v>37</v>
      </c>
      <c r="C15" s="5" t="s">
        <v>14</v>
      </c>
      <c r="D15" s="6" t="n">
        <v>12.122</v>
      </c>
      <c r="E15" s="7" t="n">
        <v>0</v>
      </c>
      <c r="F15" s="7" t="n">
        <v>0</v>
      </c>
      <c r="G15" s="8" t="n">
        <f aca="false">D15*F15</f>
        <v>0</v>
      </c>
      <c r="H15" s="5" t="n">
        <v>0</v>
      </c>
      <c r="I15" s="4"/>
      <c r="J15" s="4" t="s">
        <v>35</v>
      </c>
    </row>
    <row r="16" customFormat="false" ht="15" hidden="false" customHeight="false" outlineLevel="0" collapsed="false">
      <c r="A16" s="4" t="s">
        <v>38</v>
      </c>
      <c r="B16" s="4" t="s">
        <v>39</v>
      </c>
      <c r="C16" s="5" t="s">
        <v>14</v>
      </c>
      <c r="D16" s="6" t="n">
        <v>3.2</v>
      </c>
      <c r="E16" s="7" t="n">
        <v>0</v>
      </c>
      <c r="F16" s="7" t="n">
        <v>0</v>
      </c>
      <c r="G16" s="8" t="n">
        <f aca="false">D16*F16</f>
        <v>0</v>
      </c>
      <c r="H16" s="5" t="n">
        <v>2</v>
      </c>
      <c r="I16" s="4" t="s">
        <v>40</v>
      </c>
      <c r="J16" s="4" t="s">
        <v>35</v>
      </c>
    </row>
    <row r="17" customFormat="false" ht="15" hidden="false" customHeight="false" outlineLevel="0" collapsed="false">
      <c r="A17" s="4" t="s">
        <v>41</v>
      </c>
      <c r="B17" s="4" t="s">
        <v>42</v>
      </c>
      <c r="C17" s="5" t="s">
        <v>14</v>
      </c>
      <c r="D17" s="6" t="n">
        <v>30</v>
      </c>
      <c r="E17" s="7" t="n">
        <v>0</v>
      </c>
      <c r="F17" s="7" t="n">
        <v>0</v>
      </c>
      <c r="G17" s="8" t="n">
        <f aca="false">D17*F17</f>
        <v>0</v>
      </c>
      <c r="H17" s="5" t="n">
        <v>0</v>
      </c>
      <c r="I17" s="4"/>
      <c r="J17" s="4"/>
    </row>
    <row r="18" customFormat="false" ht="15" hidden="false" customHeight="false" outlineLevel="0" collapsed="false">
      <c r="A18" s="4" t="s">
        <v>43</v>
      </c>
      <c r="B18" s="4" t="s">
        <v>44</v>
      </c>
      <c r="C18" s="5" t="s">
        <v>45</v>
      </c>
      <c r="D18" s="6" t="n">
        <v>6</v>
      </c>
      <c r="E18" s="7" t="n">
        <v>0</v>
      </c>
      <c r="F18" s="7" t="n">
        <v>0</v>
      </c>
      <c r="G18" s="8" t="n">
        <f aca="false">D18*F18</f>
        <v>0</v>
      </c>
      <c r="H18" s="5" t="n">
        <v>0</v>
      </c>
      <c r="I18" s="4"/>
      <c r="J18" s="4"/>
    </row>
    <row r="19" customFormat="false" ht="15" hidden="false" customHeight="false" outlineLevel="0" collapsed="false">
      <c r="A19" s="4" t="s">
        <v>46</v>
      </c>
      <c r="B19" s="4" t="s">
        <v>47</v>
      </c>
      <c r="C19" s="5" t="s">
        <v>14</v>
      </c>
      <c r="D19" s="6" t="n">
        <v>14</v>
      </c>
      <c r="E19" s="7" t="n">
        <v>0</v>
      </c>
      <c r="F19" s="7" t="n">
        <v>0</v>
      </c>
      <c r="G19" s="8" t="n">
        <f aca="false">D19*F19</f>
        <v>0</v>
      </c>
      <c r="H19" s="5" t="n">
        <v>0</v>
      </c>
      <c r="I19" s="4"/>
      <c r="J19" s="4"/>
    </row>
    <row r="20" customFormat="false" ht="15" hidden="false" customHeight="false" outlineLevel="0" collapsed="false">
      <c r="A20" s="4" t="s">
        <v>48</v>
      </c>
      <c r="B20" s="4" t="s">
        <v>49</v>
      </c>
      <c r="C20" s="5" t="s">
        <v>50</v>
      </c>
      <c r="D20" s="6" t="n">
        <v>29000</v>
      </c>
      <c r="E20" s="7" t="n">
        <v>0</v>
      </c>
      <c r="F20" s="7" t="n">
        <v>0</v>
      </c>
      <c r="G20" s="8" t="n">
        <f aca="false">D20*F20</f>
        <v>0</v>
      </c>
      <c r="H20" s="5" t="n">
        <v>0</v>
      </c>
      <c r="I20" s="4"/>
      <c r="J20" s="4"/>
    </row>
    <row r="21" customFormat="false" ht="15" hidden="false" customHeight="false" outlineLevel="0" collapsed="false">
      <c r="A21" s="9" t="s">
        <v>51</v>
      </c>
      <c r="D21" s="10" t="n">
        <f aca="false">COUNTA(A5:A20)</f>
        <v>16</v>
      </c>
      <c r="G21" s="11" t="n">
        <f aca="false">SUM(G5:G20)</f>
        <v>0</v>
      </c>
    </row>
    <row r="23" customFormat="false" ht="15" hidden="false" customHeight="false" outlineLevel="0" collapsed="false">
      <c r="A23" s="2" t="s">
        <v>52</v>
      </c>
    </row>
  </sheetData>
  <autoFilter ref="A4:J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53</v>
      </c>
    </row>
    <row r="3" customFormat="false" ht="15" hidden="false" customHeight="false" outlineLevel="0" collapsed="false">
      <c r="A3" s="12" t="s">
        <v>54</v>
      </c>
      <c r="B3" s="13" t="n">
        <v>182</v>
      </c>
    </row>
    <row r="4" customFormat="false" ht="15" hidden="false" customHeight="false" outlineLevel="0" collapsed="false">
      <c r="A4" s="12" t="s">
        <v>55</v>
      </c>
      <c r="B4" s="13" t="n">
        <v>127</v>
      </c>
    </row>
    <row r="5" customFormat="false" ht="15" hidden="false" customHeight="false" outlineLevel="0" collapsed="false">
      <c r="A5" s="12" t="s">
        <v>56</v>
      </c>
      <c r="B5" s="14" t="n">
        <f aca="false">COUNTA('Sem preço'!A5:A20)</f>
        <v>16</v>
      </c>
    </row>
    <row r="6" customFormat="false" ht="15" hidden="false" customHeight="false" outlineLevel="0" collapsed="false">
      <c r="A6" s="12" t="s">
        <v>57</v>
      </c>
      <c r="B6" s="15" t="n">
        <f aca="false">B5/B4</f>
        <v>0.125984251968504</v>
      </c>
    </row>
    <row r="8" customFormat="false" ht="15" hidden="false" customHeight="false" outlineLevel="0" collapsed="false">
      <c r="A8" s="9" t="s">
        <v>58</v>
      </c>
    </row>
    <row r="9" customFormat="false" ht="26.85" hidden="false" customHeight="false" outlineLevel="0" collapsed="false">
      <c r="A9" s="16" t="s">
        <v>2</v>
      </c>
      <c r="B9" s="16" t="s">
        <v>3</v>
      </c>
      <c r="C9" s="16" t="s">
        <v>4</v>
      </c>
      <c r="D9" s="16" t="s">
        <v>59</v>
      </c>
      <c r="E9" s="16" t="s">
        <v>60</v>
      </c>
      <c r="F9" s="16" t="s">
        <v>7</v>
      </c>
      <c r="G9" s="16" t="s">
        <v>8</v>
      </c>
    </row>
    <row r="10" customFormat="false" ht="15" hidden="false" customHeight="false" outlineLevel="0" collapsed="false">
      <c r="A10" s="14" t="s">
        <v>61</v>
      </c>
      <c r="B10" s="14" t="s">
        <v>62</v>
      </c>
      <c r="C10" s="14" t="s">
        <v>14</v>
      </c>
      <c r="D10" s="17" t="n">
        <v>25</v>
      </c>
      <c r="E10" s="18" t="n">
        <v>0</v>
      </c>
      <c r="F10" s="19" t="n">
        <v>87.3</v>
      </c>
      <c r="G10" s="20" t="n">
        <f aca="false">D10*F10</f>
        <v>2182.5</v>
      </c>
    </row>
    <row r="12" customFormat="false" ht="15" hidden="false" customHeight="false" outlineLevel="0" collapsed="false">
      <c r="A12" s="2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2026-10-14T15:16:22Z</dcterms:created>
  <dc:creator>openpyxl</dc:creator>
  <dc:description/>
  <dc:language>en-US</dc:language>
  <cp:lastModifiedBy/>
  <dcterms:modified xsi:type="dcterms:W3CDTF">2026-10-14T15:16:22Z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